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date1904="1" showInkAnnotation="0" autoCompressPictures="0"/>
  <mc:AlternateContent xmlns:mc="http://schemas.openxmlformats.org/markup-compatibility/2006">
    <mc:Choice Requires="x15">
      <x15ac:absPath xmlns:x15ac="http://schemas.microsoft.com/office/spreadsheetml/2010/11/ac" url="/Users/andrewchubb/zhubochubo@gmail.com/Dropbox/0. IS - Continuity and Change/IS submitted/Resubmit/IS replication data - resubmit/"/>
    </mc:Choice>
  </mc:AlternateContent>
  <xr:revisionPtr revIDLastSave="0" documentId="13_ncr:1_{2B50E7EE-9961-164B-BCAD-710D64B7ABB3}" xr6:coauthVersionLast="45" xr6:coauthVersionMax="45" xr10:uidLastSave="{00000000-0000-0000-0000-000000000000}"/>
  <bookViews>
    <workbookView xWindow="0" yWindow="460" windowWidth="28800" windowHeight="17540" tabRatio="500" xr2:uid="{00000000-000D-0000-FFFF-FFFF00000000}"/>
  </bookViews>
  <sheets>
    <sheet name="1970-2015" sheetId="1" r:id="rId1"/>
    <sheet name="SOURCES" sheetId="4" r:id="rId2"/>
    <sheet name="C1 coding" sheetId="8" r:id="rId3"/>
    <sheet name="C2 coding" sheetId="5" r:id="rId4"/>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E197" i="1" l="1"/>
  <c r="E202" i="1"/>
  <c r="E196" i="1"/>
  <c r="E198" i="1"/>
  <c r="E199" i="1"/>
  <c r="E200" i="1"/>
  <c r="E201" i="1"/>
  <c r="E195" i="1"/>
  <c r="D4" i="1"/>
  <c r="D7" i="1"/>
  <c r="D12" i="1"/>
  <c r="D17" i="1"/>
  <c r="D21" i="1"/>
  <c r="D23" i="1"/>
  <c r="D26" i="1"/>
  <c r="D28" i="1"/>
  <c r="D32" i="1"/>
  <c r="D36" i="1"/>
  <c r="D38" i="1"/>
  <c r="D41" i="1"/>
  <c r="D45" i="1"/>
  <c r="D48" i="1"/>
  <c r="D51" i="1"/>
  <c r="D53" i="1"/>
  <c r="D58" i="1"/>
  <c r="D65" i="1"/>
  <c r="D69" i="1"/>
  <c r="D71" i="1"/>
  <c r="D74" i="1"/>
  <c r="D81" i="1"/>
  <c r="D85" i="1"/>
  <c r="D91" i="1"/>
  <c r="D93" i="1"/>
  <c r="D96" i="1"/>
  <c r="D100" i="1"/>
  <c r="D102" i="1"/>
  <c r="D104" i="1"/>
  <c r="D108" i="1"/>
  <c r="D111" i="1"/>
  <c r="D115" i="1"/>
  <c r="D117" i="1"/>
  <c r="D122" i="1"/>
  <c r="D126" i="1"/>
  <c r="D129" i="1"/>
  <c r="D134" i="1"/>
  <c r="D138" i="1"/>
  <c r="D144" i="1"/>
  <c r="D150" i="1"/>
  <c r="D155" i="1"/>
  <c r="D165" i="1"/>
  <c r="D171" i="1"/>
  <c r="D179" i="1"/>
  <c r="D184" i="1"/>
  <c r="D185" i="1"/>
  <c r="D192" i="1"/>
  <c r="E4" i="1"/>
  <c r="E7" i="1"/>
  <c r="E12" i="1"/>
  <c r="E17" i="1"/>
  <c r="E21" i="1"/>
  <c r="E23" i="1"/>
  <c r="E26" i="1"/>
  <c r="E28" i="1"/>
  <c r="E32" i="1"/>
  <c r="E36" i="1"/>
  <c r="E38" i="1"/>
  <c r="E41" i="1"/>
  <c r="E45" i="1"/>
  <c r="E48" i="1"/>
  <c r="E51" i="1"/>
  <c r="E53" i="1"/>
  <c r="E58" i="1"/>
  <c r="E65" i="1"/>
  <c r="E69" i="1"/>
  <c r="E71" i="1"/>
  <c r="E74" i="1"/>
  <c r="E81" i="1"/>
  <c r="E85" i="1"/>
  <c r="E91" i="1"/>
  <c r="E93" i="1"/>
  <c r="E96" i="1"/>
  <c r="E100" i="1"/>
  <c r="E102" i="1"/>
  <c r="E104" i="1"/>
  <c r="E108" i="1"/>
  <c r="E111" i="1"/>
  <c r="E115" i="1"/>
  <c r="E117" i="1"/>
  <c r="E122" i="1"/>
  <c r="E126" i="1"/>
  <c r="E129" i="1"/>
  <c r="E134" i="1"/>
  <c r="E138" i="1"/>
  <c r="E144" i="1"/>
  <c r="E150" i="1"/>
  <c r="E155" i="1"/>
  <c r="E165" i="1"/>
  <c r="E171" i="1"/>
  <c r="E179" i="1"/>
  <c r="E184" i="1"/>
  <c r="E185" i="1"/>
  <c r="E192" i="1"/>
  <c r="F4" i="1"/>
  <c r="F7" i="1"/>
  <c r="F12" i="1"/>
  <c r="F17" i="1"/>
  <c r="F21" i="1"/>
  <c r="F23" i="1"/>
  <c r="F26" i="1"/>
  <c r="F28" i="1"/>
  <c r="F32" i="1"/>
  <c r="F36" i="1"/>
  <c r="F38" i="1"/>
  <c r="F41" i="1"/>
  <c r="F45" i="1"/>
  <c r="F48" i="1"/>
  <c r="F51" i="1"/>
  <c r="F53" i="1"/>
  <c r="F58" i="1"/>
  <c r="F65" i="1"/>
  <c r="F69" i="1"/>
  <c r="F71" i="1"/>
  <c r="F74" i="1"/>
  <c r="F81" i="1"/>
  <c r="F85" i="1"/>
  <c r="F91" i="1"/>
  <c r="F93" i="1"/>
  <c r="F96" i="1"/>
  <c r="F100" i="1"/>
  <c r="F102" i="1"/>
  <c r="F104" i="1"/>
  <c r="F108" i="1"/>
  <c r="F111" i="1"/>
  <c r="F115" i="1"/>
  <c r="F117" i="1"/>
  <c r="F122" i="1"/>
  <c r="F126" i="1"/>
  <c r="F129" i="1"/>
  <c r="F134" i="1"/>
  <c r="F138" i="1"/>
  <c r="F144" i="1"/>
  <c r="F150" i="1"/>
  <c r="F155" i="1"/>
  <c r="F165" i="1"/>
  <c r="F171" i="1"/>
  <c r="F179" i="1"/>
  <c r="F184" i="1"/>
  <c r="F185" i="1"/>
  <c r="F192" i="1"/>
  <c r="C4" i="1"/>
  <c r="C7" i="1"/>
  <c r="C12" i="1"/>
  <c r="C17" i="1"/>
  <c r="C21" i="1"/>
  <c r="C23" i="1"/>
  <c r="C26" i="1"/>
  <c r="C28" i="1"/>
  <c r="C32" i="1"/>
  <c r="C36" i="1"/>
  <c r="C38" i="1"/>
  <c r="C41" i="1"/>
  <c r="C45" i="1"/>
  <c r="C48" i="1"/>
  <c r="C51" i="1"/>
  <c r="C53" i="1"/>
  <c r="C58" i="1"/>
  <c r="C65" i="1"/>
  <c r="C69" i="1"/>
  <c r="C71" i="1"/>
  <c r="C74" i="1"/>
  <c r="C81" i="1"/>
  <c r="C85" i="1"/>
  <c r="C91" i="1"/>
  <c r="C93" i="1"/>
  <c r="C96" i="1"/>
  <c r="C100" i="1"/>
  <c r="C102" i="1"/>
  <c r="C104" i="1"/>
  <c r="C108" i="1"/>
  <c r="C111" i="1"/>
  <c r="C115" i="1"/>
  <c r="C117" i="1"/>
  <c r="C122" i="1"/>
  <c r="C126" i="1"/>
  <c r="C129" i="1"/>
  <c r="C134" i="1"/>
  <c r="C138" i="1"/>
  <c r="C144" i="1"/>
  <c r="C150" i="1"/>
  <c r="C155" i="1"/>
  <c r="C165" i="1"/>
  <c r="C171" i="1"/>
  <c r="C179" i="1"/>
  <c r="C184" i="1"/>
  <c r="C185" i="1"/>
  <c r="C192" i="1"/>
  <c r="C190" i="1"/>
  <c r="C191" i="1"/>
  <c r="G4" i="1"/>
  <c r="G7" i="1"/>
  <c r="C9" i="1"/>
  <c r="D9" i="1"/>
  <c r="E9" i="1"/>
  <c r="F9" i="1"/>
  <c r="G9" i="1"/>
  <c r="G12" i="1"/>
  <c r="G17" i="1"/>
  <c r="G21" i="1"/>
  <c r="G23" i="1"/>
  <c r="G26" i="1"/>
  <c r="G28" i="1"/>
  <c r="G32" i="1"/>
  <c r="G36" i="1"/>
  <c r="G38" i="1"/>
  <c r="G41" i="1"/>
  <c r="G45" i="1"/>
  <c r="G48" i="1"/>
  <c r="G51" i="1"/>
  <c r="G53" i="1"/>
  <c r="G58" i="1"/>
  <c r="G65" i="1"/>
  <c r="G69" i="1"/>
  <c r="G71" i="1"/>
  <c r="G74" i="1"/>
  <c r="G81" i="1"/>
  <c r="G85" i="1"/>
  <c r="G91" i="1"/>
  <c r="G93" i="1"/>
  <c r="G96" i="1"/>
  <c r="G100" i="1"/>
  <c r="G102" i="1"/>
  <c r="G104" i="1"/>
  <c r="G108" i="1"/>
  <c r="G111" i="1"/>
  <c r="G115" i="1"/>
  <c r="G117" i="1"/>
  <c r="G122" i="1"/>
  <c r="G126" i="1"/>
  <c r="G129" i="1"/>
  <c r="G134" i="1"/>
  <c r="G138" i="1"/>
  <c r="G144" i="1"/>
  <c r="G150" i="1"/>
  <c r="G155" i="1"/>
  <c r="G165" i="1"/>
  <c r="G171" i="1"/>
  <c r="G179" i="1"/>
  <c r="G184" i="1"/>
  <c r="G192" i="1"/>
  <c r="G190" i="1"/>
  <c r="G191" i="1"/>
  <c r="F190" i="1"/>
  <c r="F191" i="1"/>
  <c r="E190" i="1"/>
  <c r="E191" i="1"/>
  <c r="D190" i="1"/>
  <c r="D191" i="1"/>
  <c r="G188" i="1"/>
  <c r="G189" i="1"/>
  <c r="F188" i="1"/>
  <c r="F189" i="1"/>
  <c r="E188" i="1"/>
  <c r="E189" i="1"/>
  <c r="D188" i="1"/>
  <c r="D189" i="1"/>
  <c r="C188" i="1"/>
  <c r="C189" i="1"/>
  <c r="G185" i="1"/>
  <c r="B142" i="8"/>
  <c r="C142" i="8"/>
  <c r="D142" i="8"/>
  <c r="E142" i="8"/>
  <c r="F142" i="8"/>
  <c r="F143" i="8"/>
  <c r="B144" i="8"/>
  <c r="C144" i="8"/>
  <c r="D144" i="8"/>
  <c r="E144" i="8"/>
  <c r="F144" i="8"/>
  <c r="F145" i="8"/>
  <c r="D143" i="8"/>
  <c r="B146" i="8"/>
  <c r="C146" i="8"/>
  <c r="D146" i="8"/>
  <c r="E146" i="8"/>
  <c r="E147" i="8"/>
  <c r="E145" i="8"/>
  <c r="D145" i="8"/>
  <c r="C145" i="8"/>
  <c r="B145" i="8"/>
  <c r="E143" i="8"/>
  <c r="C143" i="8"/>
  <c r="B143" i="8"/>
  <c r="B144" i="5"/>
  <c r="C144" i="5"/>
  <c r="D144" i="5"/>
  <c r="E144" i="5"/>
  <c r="F144" i="5"/>
  <c r="F145" i="5"/>
  <c r="E145" i="5"/>
  <c r="D145" i="5"/>
  <c r="C145" i="5"/>
  <c r="B145" i="5"/>
  <c r="B142" i="5"/>
  <c r="C142" i="5"/>
  <c r="D142" i="5"/>
  <c r="E142" i="5"/>
  <c r="F142" i="5"/>
  <c r="F143" i="5"/>
  <c r="E143" i="5"/>
  <c r="D143" i="5"/>
  <c r="C143" i="5"/>
  <c r="B143" i="5"/>
  <c r="B146" i="5"/>
  <c r="C146" i="5"/>
  <c r="D146" i="5"/>
  <c r="E146" i="5"/>
  <c r="E147" i="5"/>
</calcChain>
</file>

<file path=xl/sharedStrings.xml><?xml version="1.0" encoding="utf-8"?>
<sst xmlns="http://schemas.openxmlformats.org/spreadsheetml/2006/main" count="888" uniqueCount="575">
  <si>
    <t xml:space="preserve">Singh, Swaran, “Continuity and Change in China’s Maritime Strategy,” Strategic Analysis, Vol. 23, No. 9 (1999), pp. 1493-1508 </t>
  </si>
  <si>
    <t xml:space="preserve">SOA. Zhongguo Haiyang Nianjian (China Ocean Yearbook). Beijing: Haiyang Chubanshe (China Ocean Press). Volumes published between 1987 and 2014. Noted as ZGHYNJ. </t>
  </si>
  <si>
    <t xml:space="preserve">Tiezzi, Shannon. “'Nearly all' Australian patrols in South China Sea are challenged by China.” The Diplomat, February 5, 2016, at http://thediplomat.com/2016/02/nearly-all-australian-patrols-in-south-china-sea-are-challenged-by-china </t>
  </si>
  <si>
    <t xml:space="preserve">Tuoi Tre. “Chinese warship soldiers point guns at Vietnamese supply boat in Vietnam’s waters.” Tuoi Tre, November 27, 2015, at http://tuoitrenews.vn/society/31908/chinese-warship-soldiers-point-guns-at-vietnamese-supply-boat-in-vietnams-waters </t>
  </si>
  <si>
    <t>USASRD, Chinese Amphibious Assaults in the Paracel Archipelago January 1974, SRD-SR-44-74 (Fort George G. Meade, MD: 1974).</t>
  </si>
  <si>
    <t xml:space="preserve">Williams, Matt. “Don't neglect the Spratlys.” Far Eastern Economic Review, September 26, 2002, at http://www.spratlys.org/news/sep02/26.htm </t>
  </si>
  <si>
    <t>Yeung, Chris. “Group sent to Spratlys to support island claim.” South China Morning Post, January 24, 1992, via Factiva.</t>
  </si>
  <si>
    <t>Yu and Hua. “Bihai huige xian shenshou (On the Blue Seas, A Body and An Arm Appears,” Zhongguo Jisi Wang (China Anti-Smuggling Online), 12 August 2008, https://www.jisi.gov.cn/news/tctb/200808/20080812090957_322.html</t>
  </si>
  <si>
    <t>Zhang Liangfu, Nansha Qundao Dashiji (Chronicle of Major Events in the Spratly Islands, noted as NSQDDSJ), (Beijing: Zhongguo Kexue Yuan, 1996).</t>
  </si>
  <si>
    <t xml:space="preserve">Zhong Sheng, “China has adequate legal basis for sovereignty over Huangyan Island.” People’s Daily Online, May 10, 2012, http://en.people.cn/90883/7813224.html </t>
  </si>
  <si>
    <t>Sources in alphabetical order</t>
    <phoneticPr fontId="6" type="noConversion"/>
  </si>
  <si>
    <t>Total</t>
    <phoneticPr fontId="6" type="noConversion"/>
  </si>
  <si>
    <t>Lei Ming, “Haiyang yishi yu guojia anquan (Maritime consciousness and state security),” in Nansha Zigu Shu Zhonghua (The Spratlys Have Belonged to China Since Ancient Times), (Guangzhou: Guangzhou Junqu Silingbu Bangongshi, 1988), pp. 288-301.</t>
  </si>
  <si>
    <t xml:space="preserve">Li Jing. “United States and Chinese warships nearly collide in South China Sea.“ South China Morning Post, December 15, 2013, http://www.scmp.com/news/china/article/1380830/united-states-and-chinese-warships-nearly-collide-south-china-sea </t>
  </si>
  <si>
    <t>Liu Huaqing, Liu Huaqing Huiyilu (Recorded Memories of Liu Huaqing), (Beijing: Jiefangjun Chubanshe, 2007).</t>
  </si>
  <si>
    <t xml:space="preserve">Macatuno, Allan. “PH fishers recount ordeal near shoal.” Inquirer Global Nation, May 17, 2015, at http://globalnation.inquirer.net/123060/ph-fishers-recount-ordeal-near-shoal </t>
  </si>
  <si>
    <t>Martinson, Ryan. “Shepherds of the South Seas.” Survival Vol. 58, No. 3 (2016), pp. 187-212.</t>
  </si>
  <si>
    <t xml:space="preserve">Myers, Steven. “Collision with China: Washington.” New York Times, April 6, 2001, at http://www.nytimes.com/2001/04/06/world/collision-with-china-washington-chinese-pilot-reveled-in-risk-pentagon-says.html </t>
  </si>
  <si>
    <t>NISCSS, Nanhai Xingshi Pinggu Baogao (Evaluative Report on Developments in the South China Sea), (Haikou: Zhongguo Nanhai Yanjiuyuan).</t>
  </si>
  <si>
    <t xml:space="preserve">Perlez, Jane. “Alarm as China issues rules for disputed area.” New York Times, December 1, 2012, at http://www.nytimes.com/2012/12/02/world/asia/alarm-as-china-issues-rules-for-disputed-sea.html </t>
  </si>
  <si>
    <t xml:space="preserve">Quismundo, Tarra. “Withdraw ships, Philippines tells China.” Inquirer Global Nation, May 28, 2013, http://globalnation.inquirer.net/75823/withdraw-ships-philippines-tells-china </t>
  </si>
  <si>
    <t>Samuels, Marwyn. Contest for the South China Sea (New York: Methuen, 1982).</t>
  </si>
  <si>
    <t>Shi Dizu, “Nanhai Zhudao zigu jiushi woguo lingtu (Islands of the South China Sea Have Been Our Country’s Territory Since Ancient Times),” Renmin Ribao (People’s Daily), November 25, 1975, p. 2.</t>
  </si>
  <si>
    <t>CQCB. “Chuanzhang cheng qu Nansha buyu neng na zhengfu butie (Skippers say they can get government subsidies for going to Spratlys).” Chongqing Chenbao (Chongqing Morning News), May 4, 2012, at http://news.163.com/12/0504/10/80LGQ62H0001124J.html</t>
  </si>
  <si>
    <t xml:space="preserve">Currie, Kelley. “Why is China picking fights with Indonesia?” Weekly Standard, August 6, 2010, at http://www.weeklystandard.com/why-is-china-picking-fights-with-indonesia/article/489430 </t>
  </si>
  <si>
    <t>Fisheries Administration. Zhongguo Yuye Nianjian (China Fisheries Yearbook, noted as ZGYYNJ). Beijing: Nongye Chubanshe (Agriculture Press). Volumes published between 2001 and 2014. Noted as ZGYYNJ.</t>
  </si>
  <si>
    <t>Fravel, M. Taylor. “China’s Strategy in the South China Sea,” Contemporary Southeast Asia: A Journal of International and Strategic Affairs, Vol. 33, No. 3 (2011), pp. 292- 319.</t>
  </si>
  <si>
    <t>Fravel, M. Taylor. Strong Borders, Secure Nation: Cooperation and Conflict in China’s Territorial Disputes (Princeton: Princeton University Press, 2008).</t>
  </si>
  <si>
    <t>Garver, John. “China’s Push Through the South China Sea,” China Quarterly, No. 132 (1992), pp. 999-1028.</t>
  </si>
  <si>
    <t>Ghosn, Faten, Glenn Palmer and Stuart Bremer. “The MID3 data set, 1993–2001: procedures, coding rules, and description.” Conflict Management and Peace Science, No. 21 (2004), pp. 133-154.</t>
  </si>
  <si>
    <t>Hayton, Bill. The South China Sea: The Struggle for Power in Asia (New Haven: Yale University Press, 2014).</t>
  </si>
  <si>
    <t>Jia Yuping. “Nansha chutu yi pi zhengui wenwu (Batch of valuable artefacts excavated in Spratlys).” Renmin Ribao (People’s Daily), June 16, 1992, p. 4.</t>
  </si>
  <si>
    <t xml:space="preserve">Xinhua. “Maritime official details China’s 2013 patrols.” Xinhua, January 16, 2014, http://en.people.cn/90785/8515120.html </t>
  </si>
  <si>
    <t xml:space="preserve">Yang Weihan, Wu Jingjing and Yu Xiaojie. “Weilan de mingji – xie zai Guojia Haiyang Ju chengli 50 zhounian zhi ji (Azure inscriptions – written on the 50th anniversary of the SOA’s establishment).” Xinhua, July 22, 2014, at http://www.soa.gov.cn/xw/hyyw_90/201407/t20140723_33255.html </t>
  </si>
  <si>
    <t>AMTI. “Island Tracker,” Asia Maritime Transparency Initiative, n.d., https://amti.csis.org/island-tracker/</t>
  </si>
  <si>
    <t>Bangkok Post. “Vietnam says China building airbase on Spratlys.” Bangkok Post, December 23, 1989, via Factiva.</t>
  </si>
  <si>
    <t>Bentley, Scott. “Malaysia’s ‘special relationship’ with China and the South China Sea: not so special anymore.” Asan Forum, July 31, 2015, http://www.theasanforum.org/malaysias-special-relationship-with-china-and-the-south-china-sea-not-so-special-anymore</t>
  </si>
  <si>
    <t xml:space="preserve">Borneo Post. “Chinese Navy bar local fishermen from Luconia shoals.” Borneo Post, October 31, 2015, at http://www.theborneopost.com/2015/10/31/chinese-navy-bar-local-fishermen-from-luconia-shoals </t>
  </si>
  <si>
    <t>Chen, Jie. “China’s Spratly Policy: With Special Reference to the Philippines and Malaysia,” Asian Survey Vol. 34, No. 10 (1994), pp. 893-903.</t>
  </si>
  <si>
    <t>Chubb, Chinese Nationalism and the “Gray Zone”: Case Analyses of Public Opinion and PRC Maritime Policy (Newport, R.I.: US Naval War College, forthcoming).</t>
  </si>
  <si>
    <t>VAFIS. “Sovereignty over the two archipelagos of Hoang Sa and Truong Sa (Reference Book).” Vietnam Authority of Foreign Information Service, June 15, 2012, at http://www.vietnam.vn/sovereignty-over-the-two-archipelagos-of-hoang-sa-and-truong-sa-reference-book-c1070n20120607174001561.htm</t>
  </si>
  <si>
    <t xml:space="preserve">Vincent, Steven. “China and the United Nations Convention on the Law of the Sea: operational challenges.” US Naval War College, May 2005, at http://www.dtic.mil/cgi-bin/GetTRDoc?AD=ADA463699 </t>
  </si>
  <si>
    <t>“Xin Zhongghuo diyizhang ditu chuban (Publication of New China’s first map)” Kankan Xinwen, March 24, 2012 at http://www.kankanews.com/a/2012-03-24/0011071462.shtml</t>
  </si>
  <si>
    <t xml:space="preserve">Xinhua. “China cracks down on erroneous maps.” Xinhua, January 9, 2013, at http://www.china.org.cn/china/2013-01/09/content_27638274.htm </t>
  </si>
  <si>
    <t xml:space="preserve">Xinhua. “Guowuyuan pizhun chexiao Xisha deng qundao sheli diji Sansha Shi (State Council approves dissolution of Paracels etc. [Office], establishes prefecture-level Sansha City).” Xinhua, June 21, 2012, http://news.sohu.com/20120621/n346244100.shtml </t>
  </si>
  <si>
    <t>SOA, “Dashiji (Chronicle of major events).” State Oceanic Administration. Yearly for period 1963-2003, https://www.soa.gov.cn/memo/index.html via Archive.org</t>
  </si>
  <si>
    <t>State Department, “China-Vietnam: Beijing pressuring Hanoi on energy details near Spratly Islands,” US State Department cable #07BEIJING2670, April 20, 2007, via Archive.org.</t>
  </si>
  <si>
    <t>State Department, “PRC: Cow's Tongue Claim Not Licked, Despite Objections From The Philippines And Vietnam,” US State Department cable #09BEIJING579, March 5, 2009.</t>
  </si>
  <si>
    <t>State Department, “Chinese missteps in Vietnam are a U.S. opportunity,” cable #05HANOI247, January 28, 2005.</t>
  </si>
  <si>
    <t>State Department, ‘Vietnam MFA Disputes Details Of Article On Clash With China Over Spratlys’, cable #07HANOI1283, July 20, 2007.</t>
  </si>
  <si>
    <t>Swaine, Michael, “China’s assertive behavior, part one: on ‘core interests’.” China Leadership Monitor, No. 34 (2011).</t>
  </si>
  <si>
    <t>Thuy, Tran Truong. “Recent developments in the South China Sea: unconstrained waves of tensions.” Paper presented at CSIS conference on Maritime Security in the South China Sea, Washington, D.C., June 20-21, 2011.</t>
  </si>
  <si>
    <t xml:space="preserve">Marshall, Andrew. “INSIGHT-Remote, gas-rich islands on Indonesia's South China Sea frontline.” Reuters, Augut 25, 2014, at http://uk.reuters.com/article/southchinasea-indonesia-natuna-insight-p-idUKL4N0QK1ZB20140825 </t>
  </si>
  <si>
    <t xml:space="preserve">MOFA. “Viet Nam asks China to immediately and unconditionally release all fishermen.” MOFA (Vietnam), March 21, 2012, at http://www.mofa.gov.vn/en/tt_baochi/pbnfn/ns120322165528 </t>
  </si>
  <si>
    <t>Nansha, “Nanhai Zhudao dashi nianbiao (Major events in South China Sea islands by year,” Nansha.org.cn, 2005, http://www.nansha.org.cn/history/2/nanhai_zhudao_chronology_1975_1988.html</t>
  </si>
  <si>
    <t xml:space="preserve">Permal, Sumathy. “The rising turbulence in the South China Sea.” MIMA Sea Views, no.5, April 15, 2013, http://www.mima.gov.my/v2/data/pdf/sea_view/73.Turbulence%20in%20SCS(5-2013).pdf </t>
  </si>
  <si>
    <t xml:space="preserve">Reuters. “PetroChina to explore in Spratly chain.” Reuters, July 6, 2004, at http://www.spratlys.org/news/july04/06.htm </t>
  </si>
  <si>
    <t>Kyodo. “Philipine to send 90-100 marines to Spratlys.” Kyodo, April 3, 1995, via Factiva.</t>
  </si>
  <si>
    <t>Kyodo. “China continues to fortify claims in disputed Spratlys.” Kyodo, July 12, 2002, via Factiva.</t>
  </si>
  <si>
    <t xml:space="preserve">Lim, Kevin. “Singapore concerned over China’s South China Sea rule.” Reuters, December 3, 2012, at http://www.reuters.com/article/china-sea-singapore-idUSL4N09D31U20121203 </t>
  </si>
  <si>
    <t>Dinmore, Guy, “China’s navy on manoeuvres to protect Spratlys.” Reuters, August 3, 1988, via Factiva.</t>
  </si>
  <si>
    <t>Del Callar, Michaela. “PHL protests China's stamping of its e-passports with West PHL Sea map," GMA, November 22, 2012, https://www.gmanetwork.com/news/news/nation/283380/phl-protests-china-s-stamping-of-its-e-passports-with-west-phl-sea-map/story/</t>
  </si>
  <si>
    <t xml:space="preserve">Duowei. “Feilübin shu ci tiaoxin yu zhan Zhongguo Huangyan Dao zhi lishi (History of Philippines’ succession of provocations and attempts to occupy China’s Huangyan Island).” Duowei, June 6, 2011, at http://history.dwnews.com/news/2011-06-17/57818094.html </t>
  </si>
  <si>
    <t>Gomez, Jim. “Philippine military report says China continues to fortify claims in the South China Sea.” AP, July 16, 2002, via Factiva.</t>
  </si>
  <si>
    <t xml:space="preserve">Bentley, Scott. “Mapping the nine-dash line: recent incidents involving Indonesia in the South China Sea.” ASPI Strategist, October 29, 2013, http://www.aspistrategist.org.au/mapping-the-nine-dash-line-recent-incidents-involving-indonesia-in-the-south-china-sea </t>
  </si>
  <si>
    <t xml:space="preserve">Bernama. “China’s presence at Luconia Shoals being monitored – Ismaili.” Bernama, October 28, 2015, at http://www.malaysiandigest.com/news/576245-china-s-presence-at-luconia-shoals-being-monitored-ismaili.html </t>
  </si>
  <si>
    <t xml:space="preserve">CCTV. “Lan jiang weishi: Nanhai jixing di ba ji (South China Sea chronicle, part eight: defenders of the blue domain).” CCTV-4, aired December 31, 2013, at http://news.cntv.cn/special/nhjx </t>
  </si>
  <si>
    <t xml:space="preserve">CCTV. “Shen qing shouhu: Nanhai jixing di si ji (Standing guard with deep feeling: South China Sea chronicle, part four).” CCTV-4, aired December 31, 2013, at http://news.cntv.cn/special/nhjx </t>
  </si>
  <si>
    <t>Reuters. “China says expels Philippine from disputed shoal.” Reuters, March 10, 2014, http://mobile.reuters.com/article/idUSBREA290H620140310?irpc=932</t>
  </si>
  <si>
    <r>
      <t xml:space="preserve">2014, May-July: HYSY-981 oil rig incident. (Chubb, </t>
    </r>
    <r>
      <rPr>
        <i/>
        <sz val="10"/>
        <color indexed="8"/>
        <rFont val="Times New Roman"/>
        <family val="1"/>
      </rPr>
      <t>Chinese Nationalism and the Gray Zone</t>
    </r>
    <r>
      <rPr>
        <sz val="10"/>
        <color indexed="8"/>
        <rFont val="Times New Roman"/>
        <family val="1"/>
      </rPr>
      <t>)</t>
    </r>
    <phoneticPr fontId="6" type="noConversion"/>
  </si>
  <si>
    <t xml:space="preserve">AP. “Philippine leader questions intent of China ships.” AP, July 23, 2014, at http://www.japantimes.co.jp/news/2014/09/24/asia-pacific/philippine-leader-questions-intent-china-ships-disputed-seas </t>
  </si>
  <si>
    <t xml:space="preserve">Anhui. “’Jiu-Wu’ Nansha Qundao ji qi linjin haiqu zonghe kexue kaocha (Comprehensive scientific surveys in Spratly Islands and nearby ocean areas).” Anhui Sheng Keji Wenxian yu Chuangxin Fuwu Pingtai (Anhui Province Sci-tech Document and Innovation Service Platform), no date, https://www.ahkjwx.cn:81/article/detail.aspx?id=CG00038024 </t>
  </si>
  <si>
    <t>2012: Seizure and detention of at least 4 Vietnamese fishing boats – 21 Vietnamese fishers and 2 boats detained in March for 49 days, 2 more in May (MOFA, “Viet Nam asks China”; AFP, “Fishermen caught”).</t>
    <phoneticPr fontId="6" type="noConversion"/>
  </si>
  <si>
    <r>
      <t xml:space="preserve">2012, April onwards: Coercion against Philippine boats at Scarborough Shoal, establishing constant presence. (Chubb, </t>
    </r>
    <r>
      <rPr>
        <i/>
        <sz val="10"/>
        <color indexed="8"/>
        <rFont val="Times New Roman"/>
        <family val="1"/>
      </rPr>
      <t>Chinese Nationalism and the Gray Zone</t>
    </r>
    <r>
      <rPr>
        <sz val="10"/>
        <color indexed="8"/>
        <rFont val="Times New Roman"/>
        <family val="1"/>
      </rPr>
      <t>)</t>
    </r>
    <phoneticPr fontId="6" type="noConversion"/>
  </si>
  <si>
    <t>2012, May: Passports issued with nine-dash line watermark (Del Callar, "PHL protests China's stamping")</t>
    <phoneticPr fontId="6" type="noConversion"/>
  </si>
  <si>
    <t>2014: large-scale land reclamation creating artificial islands in Spratlys, including airstrips. (AMTI, "Island Tracker").</t>
    <phoneticPr fontId="6" type="noConversion"/>
  </si>
  <si>
    <t>2014: PRC begins maintaining permanent presence at Luconia Shoals (Yang et al., “Weilan de mingji”; Bernama, “China’s presence”).</t>
  </si>
  <si>
    <t>2015: PRC radio voiceovers challenge US, Philippine and Australian aircraft, demanding they leave airspace near Spratly artificial islands (Tiezzi, “'Nearly all' Australian patrols in South China Sea are challenged”). This practice may have begun earlier.</t>
  </si>
  <si>
    <t>Force (F)</t>
    <phoneticPr fontId="6" type="noConversion"/>
  </si>
  <si>
    <t>C</t>
    <phoneticPr fontId="6" type="noConversion"/>
  </si>
  <si>
    <t>UA</t>
    <phoneticPr fontId="6" type="noConversion"/>
  </si>
  <si>
    <t>Discrepancies:</t>
    <phoneticPr fontId="6" type="noConversion"/>
  </si>
  <si>
    <t>Discrepancies:</t>
    <phoneticPr fontId="6" type="noConversion"/>
  </si>
  <si>
    <t>17 discrepancies between YW and author</t>
    <phoneticPr fontId="6" type="noConversion"/>
  </si>
  <si>
    <t>TOTAL coding discrepancies: 10</t>
    <phoneticPr fontId="6" type="noConversion"/>
  </si>
  <si>
    <t>2010: Suggestions of “core interest” status for SCS claim. (Swaine, "China's assertive behavior")</t>
    <phoneticPr fontId="6" type="noConversion"/>
  </si>
  <si>
    <r>
      <t xml:space="preserve">2011, March: CMS ships confront Philippines survey vessels in Reed Bank. (Chubb, </t>
    </r>
    <r>
      <rPr>
        <i/>
        <sz val="10"/>
        <color indexed="8"/>
        <rFont val="Times New Roman"/>
        <family val="1"/>
      </rPr>
      <t>Chinese Nationalism and the Gray Zone</t>
    </r>
    <r>
      <rPr>
        <sz val="10"/>
        <color indexed="8"/>
        <rFont val="Times New Roman"/>
        <family val="1"/>
      </rPr>
      <t>)</t>
    </r>
    <phoneticPr fontId="6" type="noConversion"/>
  </si>
  <si>
    <r>
      <t xml:space="preserve">2011, May-June: Two Sino-Vietnamese cable-cutting incidents. (Chubb, </t>
    </r>
    <r>
      <rPr>
        <i/>
        <sz val="10"/>
        <color indexed="8"/>
        <rFont val="Times New Roman"/>
        <family val="1"/>
      </rPr>
      <t>Chinese Nationalism and the Gray Zone</t>
    </r>
    <r>
      <rPr>
        <sz val="10"/>
        <color indexed="8"/>
        <rFont val="Times New Roman"/>
        <family val="1"/>
      </rPr>
      <t>)</t>
    </r>
    <phoneticPr fontId="6" type="noConversion"/>
  </si>
  <si>
    <t>2000: Ministry of Agriculture increases subsidies for Spratly fishing, including ¥4.2m for Guangxi fishers (GXRB, “Guangxi fishermen receive state subsidies”). There was a 26.2% rise in state-sponsored Spratly fishing boats the same year (SOA, ZGYYNJ 2002, 119) [P/A]</t>
  </si>
  <si>
    <t>2004, May and October: PRC Fisheries Administration launches its first two “special operations” against foreign fishing in the Paracels and “Zhongsha Islands.” Law enforcement vessel Yuzheng-46161 was posted permanently to the Paracels (Fisheries, ZGYYNJ 2005, 144).</t>
  </si>
  <si>
    <t>2005: Non-regular rights defense patrols begin in Gulf of Tonkin border area and parts of the disputed waters (SOA, ZGHYNJ 2006, 164).</t>
  </si>
  <si>
    <t>Unilateral oil and gas survey with coercive escort (Martinson 2018)</t>
  </si>
  <si>
    <t>2007: Regular rights protection patrols begin, and then expand in scope, in South China Sea (see Chapter 4).</t>
  </si>
  <si>
    <t>2008: Regular rights defense patrols increase (CCTV, “Lan jiang weishi”).</t>
  </si>
  <si>
    <t>2009: Regular rights defense patrols increase in SCS (CCTV, “Lan jiang weishi”).</t>
  </si>
  <si>
    <t>2009, March: Impeccable incident.</t>
  </si>
  <si>
    <t>2010: At least 3 major PLA exercises in SCS. Approximately 5-6 were announced each year in 2012, 2014 &amp; 2015, though the PLA's increasing openness, may account for some of this higher count. [UA/C]</t>
  </si>
  <si>
    <t>2010, May: PRC sends survey ship M/V Western Spirit with unprecedentedly large fleet of escort ships to conduct seismic surveys near Triton Island (Thuy, “Recent developments,” 11; Martinson “Shepherds,” 199).</t>
  </si>
  <si>
    <t>2011: Regular rights defense patrols increase (CCTV, “Lan jiang weishi”).</t>
  </si>
  <si>
    <t>2012: Regular rights defense patrols increase (CCTV, “Lan jiang weishi”).</t>
  </si>
  <si>
    <t>2013: SCS regular rights defense patrols begin to encompass Luconia Shoals (Xinhua, “Maritime official details China’s 2013 patrols”). Malaysia observes seven “intrusions” by 16 Chinese assets in this area during 2013 (Bentley, “Malaysia’s ‘special relationship’ with China”).</t>
  </si>
  <si>
    <r>
      <t>1988: major spike in People’s Daily articles asserting SCS island sovereignty. On December 15, PRC media make high-profile commemorations of the 42nd anniversary of the “retrieval” (</t>
    </r>
    <r>
      <rPr>
        <sz val="10"/>
        <color indexed="8"/>
        <rFont val="ヒラギノ角ゴ Pro W6"/>
        <family val="2"/>
        <charset val="128"/>
      </rPr>
      <t>收复</t>
    </r>
    <r>
      <rPr>
        <sz val="10"/>
        <color indexed="8"/>
        <rFont val="Verdana"/>
        <family val="2"/>
      </rPr>
      <t>) of the Spratlys in 1946, even making mention of the “Taiwan Nationalist Army (</t>
    </r>
    <r>
      <rPr>
        <sz val="10"/>
        <color indexed="8"/>
        <rFont val="ヒラギノ角ゴ Pro W6"/>
        <family val="2"/>
        <charset val="128"/>
      </rPr>
      <t>台湾国民</t>
    </r>
    <r>
      <rPr>
        <sz val="10"/>
        <color indexed="8"/>
        <rFont val="Heiti TC Light"/>
        <charset val="136"/>
      </rPr>
      <t>军队</t>
    </r>
    <r>
      <rPr>
        <sz val="10"/>
        <color indexed="8"/>
        <rFont val="Verdana"/>
        <family val="2"/>
      </rPr>
      <t>) continuously occupying Taiping Island over the long-term” (Zhang, NSQDDSJ, 172-3).</t>
    </r>
  </si>
  <si>
    <r>
      <t>1988, March: PRC uses force for first time in the Spratlys, killing 70 Vietnamese sailors at Johnson Reef (</t>
    </r>
    <r>
      <rPr>
        <sz val="10"/>
        <color indexed="8"/>
        <rFont val="ヒラギノ角ゴ Pro W6"/>
        <family val="2"/>
        <charset val="128"/>
      </rPr>
      <t>赤瓜礁</t>
    </r>
    <r>
      <rPr>
        <sz val="10"/>
        <color indexed="8"/>
        <rFont val="Verdana"/>
        <family val="2"/>
      </rPr>
      <t>) (Liu Huaqing, Huiyilu, 540-541).</t>
    </r>
  </si>
  <si>
    <t>1992, January 11: PRC sends largest-ever group of 24 Hainan officials and PLA officers, on 12-day inspection of southern Spratlys, where they drop seven sovereignty markers (Yeung, “Group sent to Spratlys”).</t>
  </si>
  <si>
    <t>1992, Feb: NPC passes Territorial Sea Law, which names disputed islands, authorizes navy to evict intruders, and demands permission for innocent passage. [C/UA]</t>
  </si>
  <si>
    <r>
      <t>1992: Upgrades of Spratly outposts to third generation of “reef forts” (</t>
    </r>
    <r>
      <rPr>
        <sz val="10"/>
        <color indexed="8"/>
        <rFont val="ヒラギノ角ゴ Pro W6"/>
        <family val="2"/>
        <charset val="128"/>
      </rPr>
      <t>礁堡</t>
    </r>
    <r>
      <rPr>
        <sz val="10"/>
        <color indexed="8"/>
        <rFont val="Verdana"/>
        <family val="2"/>
      </rPr>
      <t>). China confirmed arrival of building materials at Gaven Reef on July 9 (Nansha, “Nanhai Zhudao dashi nianbiao”). Vietnam makes official diplomatic protest accusing PRC of violating a November 1991 leaders' agreement (Zhang, NSQDDSJ, 225-226).</t>
    </r>
  </si>
  <si>
    <t>1992, June: People’s Daily announces first-ever archaeological dig in Spratlys has proved Chinese people’s discovery and use of islands dating back to Qin and Han Dynasties (Jia Yuping, “Nansha chutu”). Politicization of archaeological findings has been fairly continuous since.</t>
  </si>
  <si>
    <t>1996, June 18: State Council issues Rules on Foreign-Related Marine Scientific Research, which come into effect on October 1, codifying the PRC position on marine scientific research in the EEZ for the first time in domestic regulations. [UA/C]</t>
  </si>
  <si>
    <r>
      <t>1986: Spratly fishing increases (CQCB, “Chuanzhang cheng”), following State Council “Directive regarding the relaxation of policies, and accelerated development of marine production” (</t>
    </r>
    <r>
      <rPr>
        <sz val="10"/>
        <color indexed="8"/>
        <rFont val="ヒラギノ角ゴ Pro W6"/>
        <family val="2"/>
        <charset val="128"/>
      </rPr>
      <t>关于放</t>
    </r>
    <r>
      <rPr>
        <sz val="10"/>
        <color indexed="8"/>
        <rFont val="Heiti TC Light"/>
        <charset val="136"/>
      </rPr>
      <t>宽</t>
    </r>
    <r>
      <rPr>
        <sz val="10"/>
        <color indexed="8"/>
        <rFont val="ヒラギノ角ゴ Pro W6"/>
        <family val="2"/>
        <charset val="128"/>
      </rPr>
      <t>政策</t>
    </r>
    <r>
      <rPr>
        <sz val="10"/>
        <color indexed="8"/>
        <rFont val="Apple Symbols"/>
      </rPr>
      <t>，</t>
    </r>
    <r>
      <rPr>
        <sz val="10"/>
        <color indexed="8"/>
        <rFont val="ヒラギノ角ゴ Pro W6"/>
        <family val="2"/>
        <charset val="128"/>
      </rPr>
      <t>加速</t>
    </r>
    <r>
      <rPr>
        <sz val="10"/>
        <color indexed="8"/>
        <rFont val="Heiti TC Light"/>
        <charset val="136"/>
      </rPr>
      <t>发</t>
    </r>
    <r>
      <rPr>
        <sz val="10"/>
        <color indexed="8"/>
        <rFont val="ヒラギノ角ゴ Pro W6"/>
        <family val="2"/>
        <charset val="128"/>
      </rPr>
      <t>展水</t>
    </r>
    <r>
      <rPr>
        <sz val="10"/>
        <color indexed="8"/>
        <rFont val="Heiti TC Light"/>
        <charset val="136"/>
      </rPr>
      <t>产业</t>
    </r>
    <r>
      <rPr>
        <sz val="10"/>
        <color indexed="8"/>
        <rFont val="ヒラギノ角ゴ Pro W6"/>
        <family val="2"/>
        <charset val="128"/>
      </rPr>
      <t>的指示</t>
    </r>
    <r>
      <rPr>
        <sz val="10"/>
        <color indexed="8"/>
        <rFont val="Verdana"/>
        <family val="2"/>
      </rPr>
      <t>) issued in March 1985, and Department of Agriculture and Fisheries approval of "dive-fishing boats (</t>
    </r>
    <r>
      <rPr>
        <sz val="10"/>
        <color indexed="8"/>
        <rFont val="ヒラギノ角ゴ Pro W6"/>
        <family val="2"/>
        <charset val="128"/>
      </rPr>
      <t>潜水采捕</t>
    </r>
    <r>
      <rPr>
        <sz val="10"/>
        <color indexed="8"/>
        <rFont val="Heiti TC Light"/>
        <charset val="136"/>
      </rPr>
      <t>渔</t>
    </r>
    <r>
      <rPr>
        <sz val="10"/>
        <color indexed="8"/>
        <rFont val="ヒラギノ角ゴ Pro W6"/>
        <family val="2"/>
        <charset val="128"/>
      </rPr>
      <t>船</t>
    </r>
    <r>
      <rPr>
        <sz val="10"/>
        <color indexed="8"/>
        <rFont val="Verdana"/>
        <family val="2"/>
      </rPr>
      <t>) from Qionghai, Hainan, to revive production in the Spratlys” (SOA, ZGHYNJ 1994-1996, 45). [P/A]</t>
    </r>
  </si>
  <si>
    <r>
      <t>1987, April-May: Fourth CAS Spratly comprehensive survey is the largest yet. Authorized by State Council to "strengthen survey research in Spratly waters," the expedition now had two ships, lasted 1.5 months, and had “major significance for correcting charts, exploiting resources and navigation.” (Zhang, NSQDDSJ, 114) Sovereignty markers were left at Jackson Atoll (</t>
    </r>
    <r>
      <rPr>
        <sz val="10"/>
        <color indexed="8"/>
        <rFont val="ヒラギノ角ゴ Pro W6"/>
        <family val="2"/>
        <charset val="128"/>
      </rPr>
      <t>五方礁</t>
    </r>
    <r>
      <rPr>
        <sz val="10"/>
        <color indexed="8"/>
        <rFont val="Verdana"/>
        <family val="2"/>
      </rPr>
      <t>), and possibility of occupation was investigated. A Ministry of Geology and Mining survey team also erected an official marker on Louisa Reef (</t>
    </r>
    <r>
      <rPr>
        <sz val="10"/>
        <color indexed="8"/>
        <rFont val="ヒラギノ角ゴ Pro W6"/>
        <family val="2"/>
        <charset val="128"/>
      </rPr>
      <t>南通礁</t>
    </r>
    <r>
      <rPr>
        <sz val="10"/>
        <color indexed="8"/>
        <rFont val="Verdana"/>
        <family val="2"/>
      </rPr>
      <t>) (Zhang, NSQDDSJ, 120-121).</t>
    </r>
  </si>
  <si>
    <t>2014, June: two PRC hydrographic ships operate in Reed Bank, Philippines protests (AP, “Philippine leader questions intent”)</t>
  </si>
  <si>
    <r>
      <t xml:space="preserve">2014: PRC begins </t>
    </r>
    <r>
      <rPr>
        <sz val="10"/>
        <color indexed="10"/>
        <rFont val="Arial"/>
        <family val="2"/>
      </rPr>
      <t>maintaining permanent presence</t>
    </r>
    <r>
      <rPr>
        <sz val="10"/>
        <color indexed="8"/>
        <rFont val="Arial"/>
        <family val="2"/>
      </rPr>
      <t xml:space="preserve"> at Luconia Shoals (Yang et al., “Weilan de mingji”; Bernama, “China’s presence”).</t>
    </r>
  </si>
  <si>
    <r>
      <t xml:space="preserve">2015: PRC radio voiceovers challenge US, Philippine and Australian aircraft, </t>
    </r>
    <r>
      <rPr>
        <sz val="10"/>
        <color indexed="10"/>
        <rFont val="Arial"/>
        <family val="2"/>
      </rPr>
      <t xml:space="preserve">demanding </t>
    </r>
    <r>
      <rPr>
        <sz val="10"/>
        <color indexed="8"/>
        <rFont val="Arial"/>
        <family val="2"/>
      </rPr>
      <t>they leave airspace near Spratly artificial islands (Tiezzi, “'Nearly all' Australian patrols in South China Sea are challenged”). This practice may have begun earlier.</t>
    </r>
  </si>
  <si>
    <t>2015: Malaysian fishers “chased” from Luconia Shoals by Chinese ships (Borneo Post, “Chinese Navy bar local fishermen from Luconia shoals”).</t>
  </si>
  <si>
    <t>2015, July-Nov: three coercive actions against Vietnamese ships around Spratly Islands (Tuoi Tre, “Chinese warship soldiers point guns.”)</t>
  </si>
  <si>
    <t>2015: Spratly island building intensifies</t>
  </si>
  <si>
    <t>D</t>
  </si>
  <si>
    <t>UA</t>
  </si>
  <si>
    <t>C</t>
  </si>
  <si>
    <t>Total 1970-2006</t>
  </si>
  <si>
    <t>Total 2007-2015</t>
  </si>
  <si>
    <t>F</t>
  </si>
  <si>
    <t>Total</t>
    <phoneticPr fontId="6" type="noConversion"/>
  </si>
  <si>
    <t>1973: Advocacy of restrictive position on maritime scientific research in UNCLOS III debates (Samuels, Contest, 118-132).</t>
  </si>
  <si>
    <t>1975, November: Beijing rejects Hanoi’s suggestion of suspending propaganda, publishes Guangming Daily article Paracels and Spratlys have been Chinese territory "since ancient times", and that "all the islands belonging to China will definitely return to the embrace of the motherland" (Zhang, NSQDDSJ, 50; Garver, “China’s push,” 1006). [A/D]</t>
  </si>
  <si>
    <t>1980: PRC leaves sovereignty marker on Scarborough Shoal (Duowei, “Feilübin shu ci tiaoxin”).</t>
  </si>
  <si>
    <t>1982, Sept 26: Vietnam protests PRC energy exploration contract signed with US companies covering Gulf of Tonkin. Protests again February 12, 1983 (Zhang, NSQDDSJ, 93, 95). PRC operations in Yinggehai basin continued to 1988 at least, have probably continued to present. [P/A]</t>
  </si>
  <si>
    <t>2012, November: Hainan province passes laws authorizing “board and search” of foreign boats in China’s claimed waters (Lim, “Singapore concerned”; Perlez, “Alarm as China issues rules”). New fishing regulations were also passed in late 2013, updating a 2004 version of the same (Thayer, “China’s new fishing regulations”). [C/UA]</t>
  </si>
  <si>
    <t>2012, May: Passports issued with nine-dash line watermark (SSC, “You cannot not support this,” November 27, 2012).</t>
  </si>
  <si>
    <r>
      <t xml:space="preserve">2013: SCS regular </t>
    </r>
    <r>
      <rPr>
        <sz val="10"/>
        <color indexed="10"/>
        <rFont val="Arial"/>
        <family val="2"/>
      </rPr>
      <t>rights defense patrols</t>
    </r>
    <r>
      <rPr>
        <sz val="10"/>
        <color indexed="8"/>
        <rFont val="Arial"/>
        <family val="2"/>
      </rPr>
      <t xml:space="preserve"> begin to encompass Luconia Shoals (Xinhua, “Maritime official details China’s 2013 patrols”). Malaysia observes seven “intrusions” by 16 Chinese assets in this area during 2013 (Bentley, “Malaysia’s ‘special relationship’ with China”).</t>
    </r>
  </si>
  <si>
    <t>2013: PLA exercises in South China Sea increase dramatically to at least 12, before returning to post-2010 average of 5-6 the following year. [C/UA]</t>
  </si>
  <si>
    <t>2013, April onwards: PRC patrol boats maintain constant presence at Second Thomas Shoal (Quismundo, “Withdraw ships”).</t>
  </si>
  <si>
    <t>2013: FLEC ship forces Indonesian vessel to release PRC fishers (Bentley, “Mapping the nine-dash line”; Marshall, “INSIGHT-Remote, gas-rich islands”).</t>
  </si>
  <si>
    <t>2013: PLAN ship forces USS Cowpens to stop while shadowing Liaoning aircraft carrier in South China Sea. Vessels came within 500m (Li Jing, “United States and Chinese warships nearly collide”). US also complained of “unsafe” aerial passes in 2014.</t>
  </si>
  <si>
    <t>2014: People’s Daily island sovereignty claims increase.</t>
  </si>
  <si>
    <t>2014: PRC uses water cannon and helicopters to drive away Philippines fishermen from Scarborough Shoal. Similar incidents were reported in January and April 2015 (Macatuno, “PH fishers recount ordeal”).</t>
  </si>
  <si>
    <t>2014: large-scale land reclamation creating artificial islands in Spratlys, including airstrips.</t>
  </si>
  <si>
    <t>2014, March: PRC blocks supply ships on way to Second Thomas Shoal (Reuters, “China says expels”</t>
  </si>
  <si>
    <t>2014, May-July: HYSY-981 oil rig incident.</t>
  </si>
  <si>
    <r>
      <t xml:space="preserve">2010: At least 3 major </t>
    </r>
    <r>
      <rPr>
        <sz val="10"/>
        <color indexed="10"/>
        <rFont val="Arial"/>
        <family val="2"/>
      </rPr>
      <t>PLA exercises</t>
    </r>
    <r>
      <rPr>
        <sz val="10"/>
        <color indexed="8"/>
        <rFont val="Arial"/>
        <family val="2"/>
      </rPr>
      <t xml:space="preserve"> in SCS. Approximately 5-6 were announced each year in 2012, 2014 &amp; 2015, though the PLA's increasing openness, may account for some of this higher count.</t>
    </r>
  </si>
  <si>
    <t>2010: Suggestions of “core interest” status for SCS claim.</t>
  </si>
  <si>
    <t>2010: FLEC ship forces Indonesian vessel to release Chinese fishers (Currie, “Why is China picking fights with Indonesia?”)</t>
  </si>
  <si>
    <r>
      <t>2010, May: PRC sends survey ship M/V Western Spirit with unprecedentedly large fleet of</t>
    </r>
    <r>
      <rPr>
        <sz val="10"/>
        <color indexed="10"/>
        <rFont val="Arial"/>
        <family val="2"/>
      </rPr>
      <t xml:space="preserve"> escort ships</t>
    </r>
    <r>
      <rPr>
        <sz val="10"/>
        <color indexed="8"/>
        <rFont val="Arial"/>
        <family val="2"/>
      </rPr>
      <t xml:space="preserve"> to conduct seismic surveys near Triton Island (Thuy, “Recent developments,” 11; Martinson “Shepherds,” 199).</t>
    </r>
  </si>
  <si>
    <t>2011: People’s Daily island sovereignty claims increase.</t>
  </si>
  <si>
    <r>
      <t xml:space="preserve">2011: Regular </t>
    </r>
    <r>
      <rPr>
        <sz val="10"/>
        <color indexed="10"/>
        <rFont val="Arial"/>
        <family val="2"/>
      </rPr>
      <t xml:space="preserve">rights defense patrols </t>
    </r>
    <r>
      <rPr>
        <sz val="10"/>
        <color indexed="8"/>
        <rFont val="Arial"/>
        <family val="2"/>
      </rPr>
      <t>increase (CCTV, “Lan jiang weishi”).</t>
    </r>
  </si>
  <si>
    <t>2011, March: CMS ships confront Philippines survey vessels in Reed Bank</t>
  </si>
  <si>
    <t>2011, May-June: Two Sino-Vietnamese cable-cutting incidents</t>
  </si>
  <si>
    <t>2012: People’s Daily island sovereignty claims spike further.</t>
  </si>
  <si>
    <r>
      <t xml:space="preserve">2012: Regular </t>
    </r>
    <r>
      <rPr>
        <sz val="10"/>
        <color indexed="10"/>
        <rFont val="Arial"/>
        <family val="2"/>
      </rPr>
      <t>rights defense patrols</t>
    </r>
    <r>
      <rPr>
        <sz val="10"/>
        <color indexed="8"/>
        <rFont val="Arial"/>
        <family val="2"/>
      </rPr>
      <t xml:space="preserve"> increase (CCTV, “Lan jiang weishi”).</t>
    </r>
  </si>
  <si>
    <t>2012: Seizure and detention of at least 4 Vietnamese fishing boats – 21 Vietnamese fishers and 2 boats detained in March for 49 days, 2 more in May (MOFA, “Viet Nam asks China”; AFP, “Fishermen caught”; SSC, “A certain neighbouring country,” June 3, 2012).</t>
  </si>
  <si>
    <t>2012, May: Informal economic sanctions on Philippines over Scarborough Shoal standoff.</t>
  </si>
  <si>
    <t>2012, April onwards: Coercion against Philippine boats at Scarborough Shoal, establishing constant presence.</t>
  </si>
  <si>
    <t>2012, July: Sansha City established, upgrading administrative status of former Office for Xisha, Nansha and Zhongsha Affairs. (Xinhua, “Guowuyuan pizhun chexiao”).</t>
  </si>
  <si>
    <t>2012, August: PRC government ships’ presence in southern South China Sea increases, with CMS boats approaching Malaysian survey vessels (Permal, “The rising turbulence”; Clad and Manning, “Commentary: China's bad diplomacy”). The PRC presence in these areas has increased since this time.</t>
  </si>
  <si>
    <t>2007: PRC threatens economic interests of foreign oil companies with joint ventures with Vietnam, and in one instance the wellbeing of their staff (see Chapter 4). "Heavy-handed" MFA protests at short notice over Vietnam’s explorations, threatening Nguyen Phu Trong's visit (“China-Vietnam: Beijing pressuring Hanoi on energy deals near Spratly Islands,” State Department cable #07BEIJING2670, April 20, 2007, via Wikileaks).</t>
  </si>
  <si>
    <r>
      <t xml:space="preserve">2008: Regular </t>
    </r>
    <r>
      <rPr>
        <sz val="10"/>
        <color indexed="10"/>
        <rFont val="Arial"/>
        <family val="2"/>
      </rPr>
      <t>rights defense patrols</t>
    </r>
    <r>
      <rPr>
        <sz val="10"/>
        <color indexed="8"/>
        <rFont val="Arial"/>
        <family val="2"/>
      </rPr>
      <t xml:space="preserve"> increase (CCTV, “Lan jiang weishi”).</t>
    </r>
  </si>
  <si>
    <t>2008: Expulsions of Vietnamese fishers in Paracels increase from 100+ in 2007 to 313 in 2008 (Fisheries, ZGYYNJ 2008, 138; Fisheries, ZGYYNJ 2009, 150). Expulsions dropped to 102 in 2009, due to deterrent effect of new policy (NISCSS, “2008-2009 NHXSPGBG,” 49; Fisheries, ZGYYNJ 2010, 124). Expulsion, confiscation of catches and damaging of boats has continued regularly to present.</t>
  </si>
  <si>
    <t>2008, September: interference with Vietnamese continental shelf surveys (SOA, ZGHYNJ 2009, 151; State Department, “PRC: cow's tongue claim not licked”)</t>
  </si>
  <si>
    <t>2009: People’s Daily SCS island sovereignty claims increase.</t>
  </si>
  <si>
    <r>
      <t xml:space="preserve">2009: Regular </t>
    </r>
    <r>
      <rPr>
        <sz val="10"/>
        <color indexed="10"/>
        <rFont val="Arial"/>
        <family val="2"/>
      </rPr>
      <t>rights defense patrols</t>
    </r>
    <r>
      <rPr>
        <sz val="10"/>
        <color indexed="8"/>
        <rFont val="Arial"/>
        <family val="2"/>
      </rPr>
      <t xml:space="preserve"> increase in SCS (CCTV, “Lan jiang weishi”).</t>
    </r>
  </si>
  <si>
    <t>2009: Detentions of Vietnamese fishing boats in the Paracels peak at 33 for the year, according to Vietnamese sources, having numbered less than 30 across the previous 4 years from 2005 to 2008 (Fravel, “China’s strategy,” 305).</t>
  </si>
  <si>
    <t>2009, March: Nine-dash line attached to official diplomatic communication for the first time.</t>
  </si>
  <si>
    <t>2009, March: Impeccable incident - PRC ships harrass US spy ship, forcing it to stop.</t>
  </si>
  <si>
    <t>2010, April: Regular rights defense patrols increase (CCTV, “Lan jiang weishi”). Sovereignty marker dropped on James Shoal “with important historical significance” (SOA, ZGHYNJ 2011, 148).</t>
  </si>
  <si>
    <t>2004, November: Kantan-3 oil exploration rig drills 63nm from Vietnamese coast (State Department, “Chinese missteps).</t>
  </si>
  <si>
    <r>
      <t xml:space="preserve">2005: Non-regular </t>
    </r>
    <r>
      <rPr>
        <sz val="10"/>
        <color indexed="10"/>
        <rFont val="Arial"/>
        <family val="2"/>
      </rPr>
      <t>rights defense patrols</t>
    </r>
    <r>
      <rPr>
        <sz val="10"/>
        <color indexed="8"/>
        <rFont val="Arial"/>
        <family val="2"/>
      </rPr>
      <t xml:space="preserve"> begin in Gulf of Tonkin border area and parts of the disputed waters (SOA, ZGHYNJ 2006, 164).</t>
    </r>
  </si>
  <si>
    <t>2005, January 8: PRC Maritime Police kill 9 Vietnamese fishers, and wound "many" more. (State Department, “Chinese missteps”).</t>
  </si>
  <si>
    <t>2005: PRC’s NASMG launches crackdown on maps without nine-dash line (Xinhua, “China cracks down on erroneous maps.”).</t>
  </si>
  <si>
    <t>2006: Lobbying of foreign oil companies cooperating with Vietnam begins (Fravel, “China’s strategy,” 303).</t>
  </si>
  <si>
    <t>Unilateral oil and gas survey near Paracels with escort that reportedly fended off waves of Vietnamese "armed vessels" (Yang and Peng, "Bihai huige").</t>
  </si>
  <si>
    <r>
      <t xml:space="preserve">2007: Regular </t>
    </r>
    <r>
      <rPr>
        <sz val="10"/>
        <color indexed="10"/>
        <rFont val="Arial"/>
        <family val="2"/>
      </rPr>
      <t>rights protection patrols</t>
    </r>
    <r>
      <rPr>
        <sz val="10"/>
        <color indexed="8"/>
        <rFont val="Arial"/>
        <family val="2"/>
      </rPr>
      <t xml:space="preserve"> begin, and then expand in scope, in South China Sea (see Chapter 4).</t>
    </r>
  </si>
  <si>
    <t>2007: At least two CMS “special operations” against “foreign countries’ rights-infringing activities”, including June-July drilling incident in Paracels, which involved ramming (Chapter 4). This was preceded by CMS exercises in May/June 2007 were "the largest air-sea patrol exercise since the founding of CMS" in 1998 (SOA, ZGHYNJ 2008, 19).</t>
  </si>
  <si>
    <t>2007: Detentions of Vietnamese fishers increase. In one incident in July, a Vietnamese fishing boat sank and one fisherman was killed, according to Vietnam’s military. This was near Woody Island, according to the Vietnam MOFA (“Vietnam MFA disputes details of article on clash with China over Spratlys,” State Department cable #07HANOI1283, July 20, 2007, via Wikileaks).</t>
  </si>
  <si>
    <t>2000: Ministry of Agriculture increases subsidies for Spratly fishing, including ¥4.2m for Guangxi fishers (GXRB, “Guangxi fishermen receive state subsidies”). There was a 26.2% rise in state-sponsored Spratly fishing boats the same year (SOA, ZGYYNJ 2002, 119)</t>
  </si>
  <si>
    <t>2000, December: US protests interceptions of surveillance jets above SCS (Myers, “Collision with China”).</t>
  </si>
  <si>
    <t>2001: Repeated harassment of US military spy ships and aircraft in SCS EEZ, including EP-3 incident (Vincent, “China and the United Nations Convention,” 10).</t>
  </si>
  <si>
    <t>2001, May: Two Chinese navy vessels, a survey ship, and helicopters sighted at Scarborough Shoal (Gomez, “Philippine military report”).</t>
  </si>
  <si>
    <t>2002: China reinforces its reef outposts in the Spratly archipelago, according to Philippines military (Kyodo, “China continues”).</t>
  </si>
  <si>
    <t>2002: First mention of enforcement of SCS fishing ban against foreign fishing boats in Fisheries Yearbook (Fisheries, ZGYYNJ 2003, 141).</t>
  </si>
  <si>
    <t>2002, mid-year: China held live-fire military exercises in disputed waters, according to Vietnam (Williams, “Don't neglect the Spratlys”)</t>
  </si>
  <si>
    <t>2003, April-June: China sent scientific research ship to the Spratlys, interfered with by Vietnamese ships (NISCSS, “2003 NHDQXSPGBG,” 36). The Philippine government also threatened to file a diplomatic protest with China over its research vessels and warships in the area. (Sorza, “U.S. war games not related to disputed island: Arroyo”).</t>
  </si>
  <si>
    <t>2004: Spike in People’s Daily island sovereignty claims.</t>
  </si>
  <si>
    <r>
      <t>2004, May and October: PRC Fisheries Administration launches its first two</t>
    </r>
    <r>
      <rPr>
        <sz val="10"/>
        <color indexed="10"/>
        <rFont val="Arial"/>
        <family val="2"/>
      </rPr>
      <t xml:space="preserve"> “special operations” against</t>
    </r>
    <r>
      <rPr>
        <sz val="10"/>
        <color indexed="8"/>
        <rFont val="Arial"/>
        <family val="2"/>
      </rPr>
      <t xml:space="preserve"> foreign fishing in the Paracels and “Zhongsha Islands.” Law enforcement vessel Yuzheng-46161 was posted permanently to the Paracels (Fisheries, ZGYYNJ 2005, 144).</t>
    </r>
  </si>
  <si>
    <t>2004, July 6: Ministry of Land and Resources gives PetroChina permission to explore for oil and gas in the southern part of the South China Sea (Reuters, “PetroChina to explore in Spratly chain”).</t>
  </si>
  <si>
    <t>1994, October: Vietnam complains about Chinese fishers “violating” its waters; PRC embassy in Hanoi confirms increased numbers in both Spratlys and Paracels (Torode, “Boats blamed for entering Viet waters.”). This was preceded by a major PRC fisheries survey, and in March 1995 the Philippines also protested increases in Chinese fishing in the eastern Spratlys (Kyodo, “Philipine to send 90-100 marines to Spratlys”).</t>
  </si>
  <si>
    <t>1994, late: China occupies Mischief Reef, establishing a Fisheries Management outpost.</t>
  </si>
  <si>
    <t>1995, May 13: PRC ships block a Philippines Navy vessel headed for Spratlys with journalists on board (Zhang, NSQDDSJ, 279-280; also entry #4028 in Ghosn, Palmer and Bremer, “Dispute narratives.”)</t>
  </si>
  <si>
    <t>1996, June 18: State Council issues Rules on Foreign-Related Marine Scientific Research, which come into effect on October 1, codifying the PRC position on marine scientific research in the EEZ for the first time in domestic regulations.</t>
  </si>
  <si>
    <t>1996, May 15: PRC announces territorial sea baselines around Paracel Islands, designating a wide expanse of ocean as territorial waters. [C/UA]</t>
  </si>
  <si>
    <t>1997-1999: Seven CAS Spratly surveys for 9th Five-Year Plan (Anhui, “’Jiu-Wu’ Nansha Qundao”)</t>
  </si>
  <si>
    <t>1997, March 7: Kantan-3 oil exploration rig drills 103km from Vietnamese coast (Balfour, “Analysts puzzled”).</t>
  </si>
  <si>
    <t>1997, May 7: Philippines protests against PLAN warships approaching two features - Kota (Loaita Island) and Panata (Lankiam). (Richardson, “Is China coveting ‘lost’ lands?”; Abbugao, “China, Philippines exchange diplomatic protests”; entry #4028 in Ghosn, Palmer and Bremer, “Dispute narratives.”).</t>
  </si>
  <si>
    <t>1998: Unprecedentedly large structures built on Mischief Reef.</t>
  </si>
  <si>
    <t>1999; number of People’s Daily articles on SCS &amp; sovereignty increases ninefold.</t>
  </si>
  <si>
    <t>2000: MFA Asian Affairs D-G Fu Ying makes very strong private representations to BP management regarding its involvement in Vietnamese offshore oil block 6.1 (Hayton, South China Sea, 136).</t>
  </si>
  <si>
    <r>
      <t>1992: Upgrades of Spratly outposts to third generation of “reef forts” (</t>
    </r>
    <r>
      <rPr>
        <sz val="10"/>
        <color indexed="8"/>
        <rFont val="ヒラギノ角ゴ Pro W6"/>
        <family val="2"/>
        <charset val="128"/>
      </rPr>
      <t>礁堡</t>
    </r>
    <r>
      <rPr>
        <sz val="10"/>
        <color indexed="8"/>
        <rFont val="Arial"/>
        <family val="2"/>
      </rPr>
      <t>). China confirmed arrival of building materials at Gaven Reef on July 9 (Nansha, “Nanhai Zhudao dashi nianbiao”). Vietnam makes official diplomatic protest accusing PRC of violating a November 1991 leaders' agreement (Zhang, NSQDDSJ, 225-226).</t>
    </r>
  </si>
  <si>
    <r>
      <t xml:space="preserve">1992, June: People’s Daily </t>
    </r>
    <r>
      <rPr>
        <sz val="10"/>
        <color indexed="10"/>
        <rFont val="Arial"/>
        <family val="2"/>
      </rPr>
      <t>announces</t>
    </r>
    <r>
      <rPr>
        <sz val="10"/>
        <color indexed="8"/>
        <rFont val="Arial"/>
        <family val="2"/>
      </rPr>
      <t xml:space="preserve"> first-ever </t>
    </r>
    <r>
      <rPr>
        <sz val="10"/>
        <color indexed="10"/>
        <rFont val="Arial"/>
        <family val="2"/>
      </rPr>
      <t>archaeological dig in Spratlys has proved</t>
    </r>
    <r>
      <rPr>
        <sz val="10"/>
        <color indexed="8"/>
        <rFont val="Arial"/>
        <family val="2"/>
      </rPr>
      <t xml:space="preserve"> Chinese people’s discovery and use of islands dating back to Qin and Han Dynasties (Jia Yuping, “Nansha chutu”). Politicization of archaeological findings has been fairly continuous since.</t>
    </r>
  </si>
  <si>
    <t>1992, Sept 4: Vietnam summons PRC ambassador to protest and demand removal of a survey ship and drilling ship in Gulf of Tonkin. Reuters describes this as the toughest statement against Chinese actions since February. Hainan TV reports the ship, Hainan-6, is on a drilling mission from September 4 to March 4, and Vietnamese news report says it is in waters 70nm from the Vietnamese coast (Zhang, NSQDDSJ, 233).</t>
  </si>
  <si>
    <t>1993, April 19: Jiang Zemin visits Paracels, along with Defense Minister Chi Haotian and Hainan Provincial Party Secretary (Nansha, “Nanhai Zhudao dashi nianbiao”).</t>
  </si>
  <si>
    <t>1993, May and September: Vietnam protests further Gulf of Tonkin surveys (Nansha, “Nanhai Zhudao dashi nianbiao”).</t>
  </si>
  <si>
    <t>1993: Three CAS Spratly surveys, and two more in 1994 (Zhang, NSQDDSJ, 298-299).</t>
  </si>
  <si>
    <t>1994: People’s Daily SCS sovereignty claims spike.</t>
  </si>
  <si>
    <t>1994: PRC “built a one-meter-high concrete monument” on Scarborough Shoal (Zhong Sheng, “China has adequate legal basis.”). Destroyed by Philippines authorities in 1997.</t>
  </si>
  <si>
    <t>1994, April 19: Crestone begins seismic survey work in WAB-21; standoff ensues, with two Chinese warships blockading a Vietnamese oil rig in the area (entry #4030, “Dispute narratives – MID 3.0 dataset,” in Ghosn, Palmer, and Bremer, “The MID3 data set.”)</t>
  </si>
  <si>
    <t>1989: PRC begins construction on new airstrip in Paracels. On December 22, Vietnamese state radio quotes a FM spokesman saying China is building an airstrip in the Paracels. "This act of China not only violated Vietnam's sovereignty but also endangered other nations in the region," (Bangkok Post, “Vietnam says China building airbase on Spratlys”). Construction was completed 1991.</t>
  </si>
  <si>
    <t>1991: increased People’s Daily assertions of SCS island sovereignty</t>
  </si>
  <si>
    <t>1991, May 21: Vietnam protests Chinese combat exercises aimed at dispatching small craft in Spratlys (Nansha, “Nanhai Zhudao dashi nianbiao”).</t>
  </si>
  <si>
    <r>
      <t xml:space="preserve">1992, January 11: PRC sends largest-ever group of 24 Hainan officials and PLA officers, on 12-day inspection of southern Spratlys, where they drop seven </t>
    </r>
    <r>
      <rPr>
        <sz val="10"/>
        <color indexed="10"/>
        <rFont val="Arial"/>
        <family val="2"/>
      </rPr>
      <t xml:space="preserve">sovereignty markers </t>
    </r>
    <r>
      <rPr>
        <sz val="10"/>
        <color indexed="8"/>
        <rFont val="Arial"/>
        <family val="2"/>
      </rPr>
      <t>(Yeung, “Group sent to Spratlys”).</t>
    </r>
  </si>
  <si>
    <t>1992, Feb: NPC passes Territorial Sea Law, which names disputed islands, authorizes navy to evict intruders, and demands permission for innocent passage.</t>
  </si>
  <si>
    <t>1992, May 8: China awards 25,000 sq km energy concession (WAB-21) to little-known US oil prospecting company Crestone. Last known activity in WAB-21 was in 1994.</t>
  </si>
  <si>
    <r>
      <t>1988, March: PRC uses force for first time in the Spratlys, killing 70 Vietnamese sailors at Johnson Reef (</t>
    </r>
    <r>
      <rPr>
        <sz val="10"/>
        <color indexed="8"/>
        <rFont val="ヒラギノ角ゴ Pro W6"/>
        <family val="2"/>
        <charset val="128"/>
      </rPr>
      <t>赤瓜礁</t>
    </r>
    <r>
      <rPr>
        <sz val="10"/>
        <color indexed="8"/>
        <rFont val="Arial"/>
        <family val="2"/>
      </rPr>
      <t>) (Liu Huaqing, Huiyilu, 540-541).</t>
    </r>
  </si>
  <si>
    <t>1988, April 13: NPC establishes Hainan Province, naming the three disputed island groups under its jurisdiction. Vietnam calls it “illegal and invalid,” with FM Nguyen saying China was trying to “legalize” its occupation of the Paracels and complete its “violation” of the Spratlys (Zhang, NSQDDSJ, 138-139).</t>
  </si>
  <si>
    <t>1988, June 11: People’s Daily reports Fiery Cross Reef construction is being accelerated, and that an artificial harbour and reclaimed island have appeared on the reef (Zhang, NSQDDSJ, 162). On August 2 construction declared complete, and State Council and CMC issued awards to the constructors (Zhang, NSQDDSJ, 164).</t>
  </si>
  <si>
    <t>1988, August 3: “offensive and defensive” PLA training exercises in Spratlys (Dinmore, “China’s navy on maneouvres”). Similar PLAN exercises were reported in October, 1989.</t>
  </si>
  <si>
    <t>1989, February 5: Construction begins on harbours on Duncan, Woody, East and Triton Islands (Nansha, “Nanhai Zhudao dashi nianbiao”).</t>
  </si>
  <si>
    <t>1989, May-July: Three CAS comprehensive surveys. This was the first time the PRC had made a survey of the northeastern part of the archipelago (including the Reed Bank), and the first time it had “gone deeply into the Danger Area.” (Zhang, NSQDDSJ, 178-180, 295). Three comprehensive surveys also in 1990.</t>
  </si>
  <si>
    <r>
      <t>1987, April-May: Fourth CAS Spratly comprehensive survey is the largest yet. Authorized by State Council to "strengthen survey research in Spratly waters," the expedition now had two ships, lasted 1.5 months, and had “major significance for correcting charts, exploiting resources and navigation.” (Zhang, NSQDDSJ, 114) Sovereignty markers were left at Jackson Atoll (</t>
    </r>
    <r>
      <rPr>
        <sz val="10"/>
        <color indexed="8"/>
        <rFont val="ヒラギノ角ゴ Pro W6"/>
        <family val="2"/>
        <charset val="128"/>
      </rPr>
      <t>五方礁</t>
    </r>
    <r>
      <rPr>
        <sz val="10"/>
        <color indexed="8"/>
        <rFont val="Arial"/>
        <family val="2"/>
      </rPr>
      <t>), and possibility of occupation was investigated. A Ministry of Geology and Mining survey team also erected an official marker on Louisa Reef (</t>
    </r>
    <r>
      <rPr>
        <sz val="10"/>
        <color indexed="8"/>
        <rFont val="ヒラギノ角ゴ Pro W6"/>
        <family val="2"/>
        <charset val="128"/>
      </rPr>
      <t>南通礁</t>
    </r>
    <r>
      <rPr>
        <sz val="10"/>
        <color indexed="8"/>
        <rFont val="Arial"/>
        <family val="2"/>
      </rPr>
      <t>) (Zhang, NSQDDSJ, 120-121).</t>
    </r>
  </si>
  <si>
    <t>1987, November: Criticism of Philippines by name marks first time since 1970s that PRC had criticized an ASEAN country by name for SCS activities (Chen, “China’s ASEAN policy,” 169).</t>
  </si>
  <si>
    <r>
      <t>1988: major spike in People’s Daily articles asserting SCS island sovereignty. On December 15, PRC media make high-profile commemorations of the 42nd anniversary of the “retrieval” (</t>
    </r>
    <r>
      <rPr>
        <sz val="10"/>
        <color indexed="8"/>
        <rFont val="ヒラギノ角ゴ Pro W6"/>
        <family val="2"/>
        <charset val="128"/>
      </rPr>
      <t>收复</t>
    </r>
    <r>
      <rPr>
        <sz val="10"/>
        <color indexed="8"/>
        <rFont val="Arial"/>
        <family val="2"/>
      </rPr>
      <t>) of the Spratlys in 1946, even making mention of the “Taiwan Nationalist Army (</t>
    </r>
    <r>
      <rPr>
        <sz val="10"/>
        <color indexed="8"/>
        <rFont val="ヒラギノ角ゴ Pro W6"/>
        <family val="2"/>
        <charset val="128"/>
      </rPr>
      <t>台湾国民</t>
    </r>
    <r>
      <rPr>
        <sz val="10"/>
        <color indexed="8"/>
        <rFont val="Heiti TC Light"/>
        <charset val="136"/>
      </rPr>
      <t>军队</t>
    </r>
    <r>
      <rPr>
        <sz val="10"/>
        <color indexed="8"/>
        <rFont val="Arial"/>
        <family val="2"/>
      </rPr>
      <t>) continuously occupying Taiping Island over the long-term” (Zhang, NSQDDSJ, 172-3).</t>
    </r>
  </si>
  <si>
    <t>1988, January: PRC’s first occupation of Spratly feature, Fiery Cross Reef, followed by five more occupations in March (Liu Huaqing, Huiyilu, 540-541).</t>
  </si>
  <si>
    <t>1987, April: PLAN chief admiral Liu Huaqing orders PLAN's first combat patrols in Spratlys (Fravel, Strong Borders, 293). From May 16 to June 6 PLAN conducted its first large-scale patrol of the Spratlys, from Northwest Cay to James Shoal (Garver, “China’s push”). Between April and July the PLAN South Sea Fleet conducted surveys of 600,000 sq km of the SCS (Zhang, NSQDDSJ, 113).</t>
  </si>
  <si>
    <t>1984, late: SOA comprehensive survey of central SCS concludes on Jan 7 1985, after 133 days, with 1100 participants, gathering hydrological, meterological, chemical, biological, gravitational, water depth, sonic and water pollution data (SOA, “Dashiji: 1985”).</t>
  </si>
  <si>
    <t>1985, April: SOA South Sea Branch sends 24-person investigation team to Scarborough Shoal, finding no permanent foreign military presence, but temporary air targets and concrete simulated bullets (SOA, “Dashiji: 1985”).</t>
  </si>
  <si>
    <t>1985, December 31: CCP General Secretary Hu Yaobang, and PLAN commander Liu Huaqing visit Paracels (Fravel, Strong Borders, 292).</t>
  </si>
  <si>
    <r>
      <t>1986: Spratly fishing increases (CQCB, “Chuanzhang cheng”), following State Council “Directive regarding the relaxation of policies, and accelerated development of marine production” (</t>
    </r>
    <r>
      <rPr>
        <sz val="10"/>
        <color indexed="8"/>
        <rFont val="ヒラギノ角ゴ Pro W6"/>
        <family val="2"/>
        <charset val="128"/>
      </rPr>
      <t>关于放</t>
    </r>
    <r>
      <rPr>
        <sz val="10"/>
        <color indexed="8"/>
        <rFont val="Heiti TC Light"/>
        <charset val="136"/>
      </rPr>
      <t>宽</t>
    </r>
    <r>
      <rPr>
        <sz val="10"/>
        <color indexed="8"/>
        <rFont val="ヒラギノ角ゴ Pro W6"/>
        <family val="2"/>
        <charset val="128"/>
      </rPr>
      <t>政策</t>
    </r>
    <r>
      <rPr>
        <sz val="10"/>
        <color indexed="8"/>
        <rFont val="Apple Symbols"/>
      </rPr>
      <t>，</t>
    </r>
    <r>
      <rPr>
        <sz val="10"/>
        <color indexed="8"/>
        <rFont val="ヒラギノ角ゴ Pro W6"/>
        <family val="2"/>
        <charset val="128"/>
      </rPr>
      <t>加速</t>
    </r>
    <r>
      <rPr>
        <sz val="10"/>
        <color indexed="8"/>
        <rFont val="Heiti TC Light"/>
        <charset val="136"/>
      </rPr>
      <t>发</t>
    </r>
    <r>
      <rPr>
        <sz val="10"/>
        <color indexed="8"/>
        <rFont val="ヒラギノ角ゴ Pro W6"/>
        <family val="2"/>
        <charset val="128"/>
      </rPr>
      <t>展水</t>
    </r>
    <r>
      <rPr>
        <sz val="10"/>
        <color indexed="8"/>
        <rFont val="Heiti TC Light"/>
        <charset val="136"/>
      </rPr>
      <t>产业</t>
    </r>
    <r>
      <rPr>
        <sz val="10"/>
        <color indexed="8"/>
        <rFont val="ヒラギノ角ゴ Pro W6"/>
        <family val="2"/>
        <charset val="128"/>
      </rPr>
      <t>的指示</t>
    </r>
    <r>
      <rPr>
        <sz val="10"/>
        <color indexed="8"/>
        <rFont val="Arial"/>
        <family val="2"/>
      </rPr>
      <t>) issued in March 1985, and Department of Agriculture and Fisheries approval of "dive-fishing boats (</t>
    </r>
    <r>
      <rPr>
        <sz val="10"/>
        <color indexed="8"/>
        <rFont val="ヒラギノ角ゴ Pro W6"/>
        <family val="2"/>
        <charset val="128"/>
      </rPr>
      <t>潜水采捕</t>
    </r>
    <r>
      <rPr>
        <sz val="10"/>
        <color indexed="8"/>
        <rFont val="Heiti TC Light"/>
        <charset val="136"/>
      </rPr>
      <t>渔</t>
    </r>
    <r>
      <rPr>
        <sz val="10"/>
        <color indexed="8"/>
        <rFont val="ヒラギノ角ゴ Pro W6"/>
        <family val="2"/>
        <charset val="128"/>
      </rPr>
      <t>船</t>
    </r>
    <r>
      <rPr>
        <sz val="10"/>
        <color indexed="8"/>
        <rFont val="Arial"/>
        <family val="2"/>
      </rPr>
      <t>) from Qionghai, Hainan, to revive production in the Spratlys” (SOA, ZGHYNJ 1994-1996, 45).</t>
    </r>
  </si>
  <si>
    <t>1987: Spike in People’s Daily articles claiming SCS island sovereignty.</t>
  </si>
  <si>
    <t>1980, November 8: First PLAN excursion to Spratlys, with two bombers patrolling. (Zhang, NSQDDSJ, 89; Garver, “China’s push,” 1008).</t>
  </si>
  <si>
    <r>
      <t xml:space="preserve">1980: PRC leaves </t>
    </r>
    <r>
      <rPr>
        <sz val="10"/>
        <color indexed="10"/>
        <rFont val="Arial"/>
        <family val="2"/>
      </rPr>
      <t xml:space="preserve">sovereignty marker </t>
    </r>
    <r>
      <rPr>
        <sz val="10"/>
        <color indexed="8"/>
        <rFont val="Arial"/>
        <family val="2"/>
      </rPr>
      <t>on Scarborough Shoal (Duowei, “Feilübin shu ci tiaoxin”).</t>
    </r>
  </si>
  <si>
    <t>1980, Sept: PRC Civil Aviation Administration tells international counterparts that from October, airlines would have to avoid a “danger zone” near Hainan. This forced diversions, especially in the high-traffic HK-Bangkok route (Zhang, NSQDDSJ, 89) According to Garver there were four danger zones, and the area was between Hainan and the Paracels, “thereby forcing international airlines to negotiate with China as sovereign power” (Garver, “China’s push,” 1007).</t>
  </si>
  <si>
    <t>1982, Sept 26: Vietnam protests PRC energy exploration contract signed with US companies covering Gulf of Tonkin. Protests again February 12, 1983 (Zhang, NSQDDSJ, 93, 95). PRC operations in Yinggehai basin continued to 1988 at least, have probably continued to present.</t>
  </si>
  <si>
    <t>1982: Harbour constructed on Triton Island, closest of the Paracels to Vietnam (VAFIS, “Sovereignty over the two archipelagos.”).</t>
  </si>
  <si>
    <t>1983, March 1: SOA East and South Sea Branches send Haijian-41 and Haijian-71 to conduct "patrol surveillance" for first time, on the day the PRC Maritime Environmental Protection Law comes into effect (SOA, “Dashiji: 1983.”).</t>
  </si>
  <si>
    <t>1983, April 24: PRC State Council announces official names for 287 features, prompting Vietnamese protest at “brutal violation” of its sovereignty (Zhang, NSQDDSJ, 97).</t>
  </si>
  <si>
    <t>1983, May: PLAN supply ship and transport ship conduct first mission to southern Spratly Islands, including exercises at James Shoal (Zhang, NSQDDSJ, 97).</t>
  </si>
  <si>
    <t>1984, May-July: first CAS comprehensive survey of Spratly Islands (CAS, Zonghe Diaocha Baogao).</t>
  </si>
  <si>
    <t>1974 onwards: construction of military infrastructure in Paracels stepped up (Garver, “China’s push,” 1006).</t>
  </si>
  <si>
    <t>1975: PLA commences more advanced comprehensive survey of Paracel Islands, using satellite and aerial photography, and sonar and radar mapping. (SOA, ZGHYHNJ 1986, 404).</t>
  </si>
  <si>
    <t>1975, November 25: First claim to Scarborough Shoal in People’s Daily. (Shi Dizu, “Nanhai Zhudao”).</t>
  </si>
  <si>
    <t>1975, November: Beijing rejects Hanoi’s suggestion of suspending propaganda, publishes Guangming Daily article Paracels and Spratlys have been Chinese territory "since ancient times", and that "all the islands belonging to China will definitely return to the embrace of the motherland" (Zhang, NSQDDSJ, 50; Garver, “China’s push,” 1006).</t>
  </si>
  <si>
    <t>1977, July: first PLAN submarine patrol, becomes routine (Garver, “China’s push,” 1006-7).</t>
  </si>
  <si>
    <t>1977, October: CAS central SCS comprehensive survey mission lands on Scarborough Shoal (SOA, ZGHYNJ 1986, 404; Zhong Sheng, “China has adequate legal basis”).</t>
  </si>
  <si>
    <t>1978-1979: Construction in the Paracels intensifies again. After constructing an airstrip on Woody Island in 1978, China starts flights to Hainan. By 1980 they are operating twice-weekly. (Garver, “China’s push.”) On December 26, Hainan-Paracels ferry service officially opens (Nansha, “Nanhai Zhudao dashi nianbiao”).</t>
  </si>
  <si>
    <t>1979: Spike in People’s Daily articles proclaiming sovereignty over disputed island groups.</t>
  </si>
  <si>
    <t>1979, April: PRC detains 24 Vietnamese military personnel for nearly a year in Paracels after they came within 500 metres of Chinese-held island and allegedly fired on a Chinese patrol boat. (Zhang, NSQDDSJ, 67; Garver, “China’s push,” citing “a Chinese account”).</t>
  </si>
  <si>
    <t>1979, December: first PLA marine corps brigade established in Hainan, with responsibility for the SCS, and Guangdong Provincial government also establishes office on Woody Island (Singh, “Continuity,” 1501; Garver, “China’s push,” 1007).</t>
  </si>
  <si>
    <t>2010: At least 3 major PLA exercises in SCS. Approximately 5-6 were announced each year in 2012, 2014 &amp; 2015, though the PLA's increasing openness may account for some of this higher count.</t>
    <phoneticPr fontId="6" type="noConversion"/>
  </si>
  <si>
    <t>F</t>
    <phoneticPr fontId="6" type="noConversion"/>
  </si>
  <si>
    <t>No. of years</t>
    <phoneticPr fontId="6" type="noConversion"/>
  </si>
  <si>
    <t>2007: At least two CMS “special operations” against “foreign countries’ rights-infringing activities”, including June-July drilling incident in Paracels, which involved ramming (SOA, ZGHYNJ 2008, 127; CCTV, Lan Jiang Weishi). This was preceded by CMS exercises in May/June 2007 were "the largest air-sea patrol exercise since the founding of CMS" in 1998 (SOA, ZGHYNJ 2008, 19).</t>
    <phoneticPr fontId="6" type="noConversion"/>
  </si>
  <si>
    <t>TYPE</t>
  </si>
  <si>
    <t>Year</t>
  </si>
  <si>
    <t>Declarative (D)</t>
  </si>
  <si>
    <t>Demonstrative (UA)</t>
  </si>
  <si>
    <t>Coercive (C)</t>
  </si>
  <si>
    <t>Military force (F)</t>
  </si>
  <si>
    <t>Cases of intensified assertive actions (year-on-year)</t>
  </si>
  <si>
    <t>1970: PLAN begins survey operations in Amphritrite Group of Paracel Islands, sets up meterological station on Woody Island (Garver, “China’s push,” 1000-1001).</t>
  </si>
  <si>
    <t>1971, July: People’s Daily first public assertions of sovereignty over Spratlys since 1958 (Zhang Liangfu, NSQDDSJ, 23).</t>
  </si>
  <si>
    <t>1971: Building of harbour and wharf on Woody Island in Paracels, forming PLA’s first naval base in disputed area (Garver, “China’s push” 1001).</t>
  </si>
  <si>
    <r>
      <t>1973:</t>
    </r>
    <r>
      <rPr>
        <sz val="10"/>
        <color indexed="10"/>
        <rFont val="Arial"/>
        <family val="2"/>
      </rPr>
      <t xml:space="preserve"> </t>
    </r>
    <r>
      <rPr>
        <sz val="10"/>
        <color indexed="8"/>
        <rFont val="Arial"/>
        <family val="2"/>
      </rPr>
      <t>Advocacy of restrictive position on maritime scientific research in UNCLOS III debates (Samuels, Contest, 118-132).</t>
    </r>
  </si>
  <si>
    <t>1973: CAS commences comprehensive surveys of the central SCS, south of Paracels (SOA, ZGHYNJ 1986, 404).</t>
  </si>
  <si>
    <t>1974, January: PRC evicts South Vietnam from Paracels by force.</t>
  </si>
  <si>
    <t>1974, January: PRC occupies Southwestern part of the Paracels.</t>
  </si>
  <si>
    <t>1974: Increased People’s Daily island sovereignty claims.</t>
  </si>
  <si>
    <t>No known CAS surveys.</t>
    <phoneticPr fontId="6" type="noConversion"/>
  </si>
  <si>
    <t>No repeat of HYSY-981 incident.</t>
    <phoneticPr fontId="6" type="noConversion"/>
  </si>
  <si>
    <t>US reports reduction in “unsafe” incidents (DOD, Asia-Pacific Maritime Security Strategy, 14).</t>
    <phoneticPr fontId="6" type="noConversion"/>
  </si>
  <si>
    <t>No reports of surveys in Reed Bank.</t>
  </si>
  <si>
    <t>TOTALS</t>
    <phoneticPr fontId="6" type="noConversion"/>
  </si>
  <si>
    <t>No known coercive fisheries incidents involving Indonesia.</t>
    <phoneticPr fontId="6" type="noConversion"/>
  </si>
  <si>
    <t>Mean</t>
    <phoneticPr fontId="6" type="noConversion"/>
  </si>
  <si>
    <t>2014: PRC uses water cannon and helicopters to drive away Philippines fishermen from Scarborough Shoal. Similar incidents were reported in January and April 2015 (Macatuno, “PH fishers recount ordeal”). However, this practice may have decreased</t>
    <phoneticPr fontId="6" type="noConversion"/>
  </si>
  <si>
    <t>2007: PRC threatens economic interests of foreign oil companies with joint ventures with Vietnam, and in one instance the wellbeing of their staff. "Heavy-handed" MFA protests at short notice over Vietnam’s explorations, threatening Nguyen Phu Trong's visit (State Department, “China-Vietnam: Beijing pressuring Hanoi”). The threats appear to remain in effect through subsequent years.</t>
    <phoneticPr fontId="6" type="noConversion"/>
  </si>
  <si>
    <t>2008, September: interference with Vietnamese continental shelf surveys (SOA, ZGHYNJ 2009, 151; State Department, “PRC: cow's tongue claim not licked”). The lack of similar incidents in subsequent years may have been due to deterrent effect.</t>
    <phoneticPr fontId="6" type="noConversion"/>
  </si>
  <si>
    <t>2015?</t>
    <phoneticPr fontId="6" type="noConversion"/>
  </si>
  <si>
    <t>-</t>
    <phoneticPr fontId="6" type="noConversion"/>
  </si>
  <si>
    <t>July, PRC-aligned Cambodia refuses to allow reference to SCS in ASEAN Ministers' Meeting communiqué. Not an assertive action, however, as it didn't really weaken any other state's claim.</t>
    <phoneticPr fontId="6" type="noConversion"/>
  </si>
  <si>
    <r>
      <t xml:space="preserve">No repeat of </t>
    </r>
    <r>
      <rPr>
        <i/>
        <sz val="10"/>
        <rFont val="Times New Roman"/>
        <family val="1"/>
      </rPr>
      <t xml:space="preserve">Impeccable </t>
    </r>
    <r>
      <rPr>
        <sz val="10"/>
        <rFont val="Times New Roman"/>
        <family val="1"/>
      </rPr>
      <t>incident.</t>
    </r>
    <phoneticPr fontId="6" type="noConversion"/>
  </si>
  <si>
    <t>No known repeat of PRC-Indonesia standoff.</t>
  </si>
  <si>
    <t>People’s Daily island sovereignty assertions recede.</t>
    <phoneticPr fontId="6" type="noConversion"/>
  </si>
  <si>
    <t>No known fatal incidents with Vietnamese fishers.</t>
    <phoneticPr fontId="6" type="noConversion"/>
  </si>
  <si>
    <t>2007, April: Possible “expulsion” against a Russian survey ship.</t>
    <phoneticPr fontId="6" type="noConversion"/>
  </si>
  <si>
    <t>2007: Regular rights protection patrols begin, and then expand in scope, in South China Sea (CCTV, Lan Jiang Weishi)</t>
    <phoneticPr fontId="6" type="noConversion"/>
  </si>
  <si>
    <r>
      <t>1996, May 15: PRC announces territorial sea baselines around Paracel Islands, designating a wide expanse of ocean as territorial waters.</t>
    </r>
    <r>
      <rPr>
        <sz val="10"/>
        <color indexed="10"/>
        <rFont val="Times New Roman"/>
        <family val="1"/>
      </rPr>
      <t xml:space="preserve"> </t>
    </r>
    <phoneticPr fontId="6" type="noConversion"/>
  </si>
  <si>
    <t xml:space="preserve">2004, November: Kantan-3 oil exploration rig drills 63nm from Vietnamese coast (State Department, “Chinese missteps). </t>
    <phoneticPr fontId="6" type="noConversion"/>
  </si>
  <si>
    <r>
      <t>1978-1979: Construction in the Paracels intensifies again. After constructing an airstrip on Woody Island in 1978, China starts flights to Hainan. By 1980 they are operating twice-weekly. (Garver, “China’s push.”) On December 26, Hainan-Paracels ferry service officially opens (Nansha, “Nanhai Zhudao dashi nianbiao”)</t>
    </r>
    <r>
      <rPr>
        <sz val="10"/>
        <color indexed="12"/>
        <rFont val="Times New Roman"/>
        <family val="1"/>
      </rPr>
      <t>.</t>
    </r>
    <phoneticPr fontId="6" type="noConversion"/>
  </si>
  <si>
    <r>
      <t>1993, May and September: Vietnam protests further Gulf of Tonkin surveys (Nansha, “Nanhai Zhudao dashi nianbiao”).</t>
    </r>
    <r>
      <rPr>
        <sz val="10"/>
        <color indexed="12"/>
        <rFont val="Times New Roman"/>
        <family val="1"/>
      </rPr>
      <t xml:space="preserve"> </t>
    </r>
    <phoneticPr fontId="6" type="noConversion"/>
  </si>
  <si>
    <r>
      <t>1994, April 19: Crestone begins seismic survey work in WAB-21; standoff ensues, with two Chinese warships blockading a Vietnamese oil rig in the area (entry #4030, “Dispute narratives – MID 3.0 dataset,” in Ghosn, Palmer, and Bremer, “The MID3 data set.”)</t>
    </r>
    <r>
      <rPr>
        <sz val="10"/>
        <color indexed="12"/>
        <rFont val="Times New Roman"/>
        <family val="1"/>
      </rPr>
      <t xml:space="preserve"> </t>
    </r>
    <phoneticPr fontId="6" type="noConversion"/>
  </si>
  <si>
    <t>2001, May: Two Chinese navy vessels, a survey ship, and helicopters sighted at Scarborough Shoal (Gomez, “Philippine military report”). Further PRC increases its activities around Scarborough Shoal occurred in 2002, according to Philippines military report (Kyodo, "China continues").</t>
    <phoneticPr fontId="6" type="noConversion"/>
  </si>
  <si>
    <t>No reports of intensified PRC activities around Scarborough Shoal</t>
    <phoneticPr fontId="6" type="noConversion"/>
  </si>
  <si>
    <t>2003, April-June: China sent scientific research ship to the Spratlys, interfered with by Vietnamese ships (NISCSS, “2003 NHDQXSPGBG,” 36). The Philippine government also threatened to file a diplomatic protest with China over its research vessels and warships in the area. (Sorza, “U.S. war games not related to disputed island: Arroyo”).</t>
    <phoneticPr fontId="6" type="noConversion"/>
  </si>
  <si>
    <t>2002, mid-year: China held live-fire military exercises in disputed waters, according to Vietnam (Williams, “Don't neglect the Spratlys”).</t>
    <phoneticPr fontId="6" type="noConversion"/>
  </si>
  <si>
    <t>SCS military drills back down to a more normal 5 or so.</t>
    <phoneticPr fontId="6" type="noConversion"/>
  </si>
  <si>
    <t>2002: China reinforces its reef outposts in the Spratly archipelago, according to Philippines military (Kyodo, “China continues”).</t>
    <phoneticPr fontId="6" type="noConversion"/>
  </si>
  <si>
    <t>No repeat of Second Thomas Shoal supply ship incident.</t>
  </si>
  <si>
    <t>No known cable-cuttings.</t>
  </si>
  <si>
    <t>Fewer People’s Daily island sovereignty assertions.</t>
    <phoneticPr fontId="6" type="noConversion"/>
  </si>
  <si>
    <t>No known detentions of Vietnamese fishers, and probably fewer incidents in Paracels (see Thayer, "China’s new fishing regulations”).</t>
    <phoneticPr fontId="6" type="noConversion"/>
  </si>
  <si>
    <t>Reduced detentions of Vietnamese fishers (Fravel, “China’s strategy,” 305).</t>
    <phoneticPr fontId="6" type="noConversion"/>
  </si>
  <si>
    <t xml:space="preserve">"Core interest" discussion recedes. </t>
    <phoneticPr fontId="6" type="noConversion"/>
  </si>
  <si>
    <t xml:space="preserve">No known unilateral energy surveys. </t>
    <phoneticPr fontId="6" type="noConversion"/>
  </si>
  <si>
    <t>Fewer cable-cuttings</t>
    <phoneticPr fontId="6" type="noConversion"/>
  </si>
  <si>
    <t>No Reed Bank confrontations</t>
    <phoneticPr fontId="6" type="noConversion"/>
  </si>
  <si>
    <t xml:space="preserve">1997, May 7: Philippines protests against PLAN warships approaching two features - Kota (Loaita Island) and Panata (Lankiam). (Richardson, “Is China coveting ‘lost’ lands?”; Abbugao, “China, Philippines exchange diplomatic protests”; entry #4028 in Ghosn, Palmer and Bremer, “Dispute narratives.”). </t>
    <phoneticPr fontId="6" type="noConversion"/>
  </si>
  <si>
    <t>No reports of PLAN approaching PHL-held Spratly features</t>
    <phoneticPr fontId="6" type="noConversion"/>
  </si>
  <si>
    <t>People's Daily sovereignty assertions decline</t>
    <phoneticPr fontId="6" type="noConversion"/>
  </si>
  <si>
    <t>No known coercive on-water behaviour</t>
    <phoneticPr fontId="6" type="noConversion"/>
  </si>
  <si>
    <t>No known drilling operations.</t>
    <phoneticPr fontId="6" type="noConversion"/>
  </si>
  <si>
    <t>2004, May and October: PRC Fisheries Administration launches its first two “special operations” against foreign fishing in the Paracels and “Zhongsha Islands.” Law enforcement vessel Yuzheng-46161 was posted permanently to the Paracels (Fisheries, ZGYYNJ 2005, 144). Coercion of Vietnamese fishers in the Paracels has occurred yearly since this time or earlier.</t>
    <phoneticPr fontId="6" type="noConversion"/>
  </si>
  <si>
    <t>No repeat of Kantan-3 incident.</t>
  </si>
  <si>
    <t>People’s Daily island sovereignty assertions decline.</t>
    <phoneticPr fontId="6" type="noConversion"/>
  </si>
  <si>
    <t>No record of further action on PetroChina Spratly concession.</t>
  </si>
  <si>
    <t>2005, May-June: PRC survey ship Fengdou-4 and fishing boats increase “operational intensity” near Pratas. (Cable #05TAIPEI2433)</t>
    <phoneticPr fontId="6" type="noConversion"/>
  </si>
  <si>
    <t>“China has constructed sovereignty markers at some basepoints of territorial waters including those in Hoang Sa archipelago of Vietnam" ('Vietnam once again reaffirms its sovereignty…')</t>
    <phoneticPr fontId="6" type="noConversion"/>
  </si>
  <si>
    <t>1989, May-July: Three CAS comprehensive surveys. This was the first time the PRC had made a survey of the northeastern part of the archipelago (including the Reed Bank), and the first time it had “gone deeply into the Danger Area.” (Zhang, NSQDDSJ, 178-180, 295). Three comprehensive surveys also in 1990.</t>
    <phoneticPr fontId="6" type="noConversion"/>
  </si>
  <si>
    <t>1988, Nov 19: VN protests PLAN guided missile destroyer #134 "suddenly opened fire" twice on a Vietnamese Navy ship #505 on patrol in Spratlys. Nov 24: PRC MFA responds, saying records show the destroyer #134 was at anchor all day. Spokesman Li Jinhua says if VN wants to continue creating new tensions, it will "bear full responsibility for any consequences". (Zhang Liangfu NSQDDSJ 171-2)</t>
    <phoneticPr fontId="6" type="noConversion"/>
  </si>
  <si>
    <t>Fewer RMRB island sovereignty assertions</t>
    <phoneticPr fontId="6" type="noConversion"/>
  </si>
  <si>
    <t>No PLAN exercises or patrols reported in Spratlys</t>
    <phoneticPr fontId="6" type="noConversion"/>
  </si>
  <si>
    <t>No repeat of Kantan-3 incident</t>
    <phoneticPr fontId="6" type="noConversion"/>
  </si>
  <si>
    <t>Construction of Spratly reef forts was ongoing through 1990s; completion of lighthouses announced Jan 2, 1991.</t>
    <phoneticPr fontId="6" type="noConversion"/>
  </si>
  <si>
    <t>2002, May &amp; Aug-Sep: CMS shadowing of US and Russian survey work (SOA Yearbook 2003). Location unclear.</t>
    <phoneticPr fontId="6" type="noConversion"/>
  </si>
  <si>
    <t>2002: China introduces Mapping and Surveying Law that specifies that foreign vessels engaged in mapping and surveying in "waters under Chinese jurisdiction" must have prior consent from PRC govt &amp; military.</t>
    <phoneticPr fontId="6" type="noConversion"/>
  </si>
  <si>
    <t>People's Daily sovereignty assertions decline</t>
    <phoneticPr fontId="6" type="noConversion"/>
  </si>
  <si>
    <t>2000: Ministry of Agriculture increases subsidies for Spratly fishing, including ¥4.2m for Guangxi fishers (GXRB, “Guangxi fishermen receive state subsidies”). There was a 26.2% rise in state-sponsored Spratly fishing boats the same year (SOA, ZGYYNJ 2002, 119).</t>
    <phoneticPr fontId="6" type="noConversion"/>
  </si>
  <si>
    <t>No known repeat of representations to foreign companies involved with Vietnamese oil development.</t>
    <phoneticPr fontId="6" type="noConversion"/>
  </si>
  <si>
    <t>No repeat of EP-3 incident</t>
    <phoneticPr fontId="6" type="noConversion"/>
  </si>
  <si>
    <t>No known detentions of VN personnel in Paracels</t>
    <phoneticPr fontId="6" type="noConversion"/>
  </si>
  <si>
    <t>1981?</t>
    <phoneticPr fontId="6" type="noConversion"/>
  </si>
  <si>
    <t>-</t>
    <phoneticPr fontId="6" type="noConversion"/>
  </si>
  <si>
    <t>-</t>
    <phoneticPr fontId="6" type="noConversion"/>
  </si>
  <si>
    <t>No leadership visits to disputed territories</t>
    <phoneticPr fontId="6" type="noConversion"/>
  </si>
  <si>
    <t>-</t>
    <phoneticPr fontId="6" type="noConversion"/>
  </si>
  <si>
    <t>TYPE</t>
    <phoneticPr fontId="6" type="noConversion"/>
  </si>
  <si>
    <t>-</t>
    <phoneticPr fontId="6" type="noConversion"/>
  </si>
  <si>
    <t>-</t>
    <phoneticPr fontId="6" type="noConversion"/>
  </si>
  <si>
    <t>-</t>
  </si>
  <si>
    <t>D</t>
    <phoneticPr fontId="6" type="noConversion"/>
  </si>
  <si>
    <t>UA</t>
    <phoneticPr fontId="6" type="noConversion"/>
  </si>
  <si>
    <t>C</t>
    <phoneticPr fontId="6" type="noConversion"/>
  </si>
  <si>
    <t>Total</t>
    <phoneticPr fontId="6" type="noConversion"/>
  </si>
  <si>
    <t>No known PLAN exercises</t>
    <phoneticPr fontId="6" type="noConversion"/>
  </si>
  <si>
    <t>No standoff in WAB-21</t>
    <phoneticPr fontId="6" type="noConversion"/>
  </si>
  <si>
    <t>No known CAS Spratly surveys</t>
    <phoneticPr fontId="6" type="noConversion"/>
  </si>
  <si>
    <t>2015?</t>
    <phoneticPr fontId="6" type="noConversion"/>
  </si>
  <si>
    <t>1994: People’s Daily SCS sovereignty claims spike, and remain elevated in 1995.</t>
    <phoneticPr fontId="6" type="noConversion"/>
  </si>
  <si>
    <t>Only 1 CAS Spratly survey mission</t>
    <phoneticPr fontId="6" type="noConversion"/>
  </si>
  <si>
    <t>No known CAS Spratly surveys</t>
    <phoneticPr fontId="6" type="noConversion"/>
  </si>
  <si>
    <t>1992, Feb: NPC passes Territorial Sea Law, which names disputed islands, authorizes navy to evict intruders, and demands permission for innocent passage.</t>
    <phoneticPr fontId="6" type="noConversion"/>
  </si>
  <si>
    <t xml:space="preserve">~1994 </t>
    <phoneticPr fontId="6" type="noConversion"/>
  </si>
  <si>
    <t>~1993</t>
    <phoneticPr fontId="6" type="noConversion"/>
  </si>
  <si>
    <t>Ongoing through</t>
    <phoneticPr fontId="6" type="noConversion"/>
  </si>
  <si>
    <t>Fewer People's Daily island sovereignty assertions</t>
    <phoneticPr fontId="6" type="noConversion"/>
  </si>
  <si>
    <t>No known large-scale official inspections in Spratlys.</t>
  </si>
  <si>
    <t>Fewer RMRB assertions</t>
    <phoneticPr fontId="6" type="noConversion"/>
  </si>
  <si>
    <t>No use of force</t>
    <phoneticPr fontId="6" type="noConversion"/>
  </si>
  <si>
    <t>1977, October: CAS central SCS comprehensive survey mission lands on Scarborough Shoal (SOA, ZGHYNJ 1986, 404; Zhong Sheng, “China has adequate legal basis”).</t>
    <phoneticPr fontId="6" type="noConversion"/>
  </si>
  <si>
    <t>1974: Increased People’s Daily island sovereignty claims.</t>
    <phoneticPr fontId="6" type="noConversion"/>
  </si>
  <si>
    <t>1974 onwards: construction of military infrastructure in Paracels stepped up (Garver, “China’s push,” 1006).</t>
    <phoneticPr fontId="6" type="noConversion"/>
  </si>
  <si>
    <t>2015? (presumed to have continued)</t>
    <phoneticPr fontId="6" type="noConversion"/>
  </si>
  <si>
    <t>-</t>
    <phoneticPr fontId="6" type="noConversion"/>
  </si>
  <si>
    <t>No mention of island sovereignty in People’s Daily.</t>
    <phoneticPr fontId="6" type="noConversion"/>
  </si>
  <si>
    <t>No use of force against rivals.</t>
    <phoneticPr fontId="6" type="noConversion"/>
  </si>
  <si>
    <t>People’s Daily island sovereignty assertions decrease.</t>
    <phoneticPr fontId="6" type="noConversion"/>
  </si>
  <si>
    <t>Less domestic publicity; no further Scarborough Shoal claims</t>
    <phoneticPr fontId="6" type="noConversion"/>
  </si>
  <si>
    <t>No known landing on Scarborough Shoal.</t>
    <phoneticPr fontId="6" type="noConversion"/>
  </si>
  <si>
    <t>No known Spratly or Scarborough excursions</t>
    <phoneticPr fontId="6" type="noConversion"/>
  </si>
  <si>
    <t>No records of SOA "patrol surveillance"</t>
    <phoneticPr fontId="6" type="noConversion"/>
  </si>
  <si>
    <t>No PLA missions to Spratlys</t>
    <phoneticPr fontId="6" type="noConversion"/>
  </si>
  <si>
    <t>No expeditions to Scarborough Shoal</t>
    <phoneticPr fontId="6" type="noConversion"/>
  </si>
  <si>
    <t>Cases of diminished assertive actions (year-on-year)</t>
    <phoneticPr fontId="6" type="noConversion"/>
  </si>
  <si>
    <t>-</t>
    <phoneticPr fontId="6" type="noConversion"/>
  </si>
  <si>
    <t>2015?</t>
    <phoneticPr fontId="6" type="noConversion"/>
  </si>
  <si>
    <t>-</t>
    <phoneticPr fontId="6" type="noConversion"/>
  </si>
  <si>
    <t>2015?</t>
    <phoneticPr fontId="6" type="noConversion"/>
  </si>
  <si>
    <t>-</t>
    <phoneticPr fontId="6" type="noConversion"/>
  </si>
  <si>
    <t>2016 (has continued as of Jan 2016)</t>
    <phoneticPr fontId="6" type="noConversion"/>
  </si>
  <si>
    <t>-</t>
    <phoneticPr fontId="6" type="noConversion"/>
  </si>
  <si>
    <t>-</t>
    <phoneticPr fontId="6" type="noConversion"/>
  </si>
  <si>
    <t>2015 (numbers of fishers presumed to have continued at this level at least)</t>
    <phoneticPr fontId="6" type="noConversion"/>
  </si>
  <si>
    <t>-</t>
    <phoneticPr fontId="6" type="noConversion"/>
  </si>
  <si>
    <t>2015, as usage has been continuous since</t>
    <phoneticPr fontId="6" type="noConversion"/>
  </si>
  <si>
    <t>-</t>
    <phoneticPr fontId="6" type="noConversion"/>
  </si>
  <si>
    <t>~1976?</t>
    <phoneticPr fontId="6" type="noConversion"/>
  </si>
  <si>
    <t>~1976?</t>
    <phoneticPr fontId="6" type="noConversion"/>
  </si>
  <si>
    <t>-</t>
    <phoneticPr fontId="6" type="noConversion"/>
  </si>
  <si>
    <t>-</t>
    <phoneticPr fontId="6" type="noConversion"/>
  </si>
  <si>
    <t>2015?</t>
    <phoneticPr fontId="6" type="noConversion"/>
  </si>
  <si>
    <t>-</t>
    <phoneticPr fontId="6" type="noConversion"/>
  </si>
  <si>
    <t>-</t>
    <phoneticPr fontId="6" type="noConversion"/>
  </si>
  <si>
    <t>2015?</t>
    <phoneticPr fontId="6" type="noConversion"/>
  </si>
  <si>
    <t>1983, March 1: SOA East and South Sea Branches send Haijian-41 and Haijian-71 to conduct "patrol surveillance" for first time, on the day the PRC Maritime Environmental Protection Law comes into effect (SOA, “Dashiji: 1983.”).</t>
    <phoneticPr fontId="6" type="noConversion"/>
  </si>
  <si>
    <t>Total</t>
  </si>
  <si>
    <t>Total</t>
    <phoneticPr fontId="6" type="noConversion"/>
  </si>
  <si>
    <t>All types</t>
    <phoneticPr fontId="6" type="noConversion"/>
  </si>
  <si>
    <t>Total</t>
    <phoneticPr fontId="6" type="noConversion"/>
  </si>
  <si>
    <t>Total 2007-2015</t>
    <phoneticPr fontId="6" type="noConversion"/>
  </si>
  <si>
    <t>1979: Spike in People’s Daily articles proclaiming sovereignty over disputed island groups.</t>
    <phoneticPr fontId="6" type="noConversion"/>
  </si>
  <si>
    <t>1990, Oct 26: According to Vietnamese engineer, a foreign ship "stormed straight into the construction squad" that was setting up DK1 rigs, prompting the escort ship to fire warning shots</t>
    <phoneticPr fontId="6" type="noConversion"/>
  </si>
  <si>
    <t>Cases of intensified assertive actions (year-on-year)</t>
    <phoneticPr fontId="6" type="noConversion"/>
  </si>
  <si>
    <t>No leadership visits to disputed territories</t>
    <phoneticPr fontId="6" type="noConversion"/>
  </si>
  <si>
    <t>-</t>
    <phoneticPr fontId="6" type="noConversion"/>
  </si>
  <si>
    <t>-</t>
    <phoneticPr fontId="6" type="noConversion"/>
  </si>
  <si>
    <t>-</t>
    <phoneticPr fontId="6" type="noConversion"/>
  </si>
  <si>
    <t>-</t>
    <phoneticPr fontId="6" type="noConversion"/>
  </si>
  <si>
    <t>through 2002 at least</t>
    <phoneticPr fontId="6" type="noConversion"/>
  </si>
  <si>
    <t>-</t>
    <phoneticPr fontId="6" type="noConversion"/>
  </si>
  <si>
    <t>-</t>
    <phoneticPr fontId="6" type="noConversion"/>
  </si>
  <si>
    <t>-</t>
    <phoneticPr fontId="6" type="noConversion"/>
  </si>
  <si>
    <t>No repeat of fatal Jan 2005 incident</t>
    <phoneticPr fontId="6" type="noConversion"/>
  </si>
  <si>
    <t>-</t>
    <phoneticPr fontId="6" type="noConversion"/>
  </si>
  <si>
    <t>~1971?</t>
    <phoneticPr fontId="6" type="noConversion"/>
  </si>
  <si>
    <t>Total</t>
    <phoneticPr fontId="6" type="noConversion"/>
  </si>
  <si>
    <t>Total 1970-2006</t>
    <phoneticPr fontId="6" type="noConversion"/>
  </si>
  <si>
    <t>1975, November: Beijing rejects Hanoi’s suggestion of suspending propaganda, publishes Guangming Daily article Paracels and Spratlys have been Chinese territory "since ancient times", and that "all the islands belonging to China will definitely return to the embrace of the motherland" (Zhang, NSQDDSJ, 50; Garver, “China’s push,” 1006).</t>
    <phoneticPr fontId="6" type="noConversion"/>
  </si>
  <si>
    <t>1984, late: SOA comprehensive survey of central SCS concludes on Jan 7 1985, after 133 days, with 1100 participants, gathering hydrological, meterological, chemical, biological, gravitational, water depth, sonic and water pollution data (SOA, “Dashiji: 1985”).</t>
    <phoneticPr fontId="6" type="noConversion"/>
  </si>
  <si>
    <t>1985, April: SOA South Sea Branch sends 24-person investigation team to Scarborough Shoal, finding no permanent foreign military presence, but temporary air targets and concrete simulated bullets (SOA, “Dashiji: 1985”).</t>
    <phoneticPr fontId="6" type="noConversion"/>
  </si>
  <si>
    <t>1975: PLA commences more advanced comprehensive survey of Paracel Islands, using satellite and aerial photography, and sonar and radar mapping. (SOA, ZGHYHNJ 1986, 404).</t>
    <phoneticPr fontId="6" type="noConversion"/>
  </si>
  <si>
    <t>1975, November 25: First claim to Scarborough Shoal in People’s Daily. (Shi Dizu, “Nanhai Zhudao”).</t>
    <phoneticPr fontId="6" type="noConversion"/>
  </si>
  <si>
    <t>Total</t>
    <phoneticPr fontId="6" type="noConversion"/>
  </si>
  <si>
    <t>1970: PLAN begins survey operations in Amphritrite Group of Paracel Islands, sets up meterological station on Woody Island (Garver, “China’s push,” 1000-1001).</t>
    <phoneticPr fontId="6" type="noConversion"/>
  </si>
  <si>
    <t>1971, July: People’s Daily first public assertions of sovereignty over Spratlys since 1958 (Zhang Liangfu, NSQDDSJ, 23).</t>
    <phoneticPr fontId="6" type="noConversion"/>
  </si>
  <si>
    <t>1971: Building of harbour and wharf on Woody Island in Paracels, forming PLA’s first naval base in disputed area (Garver, “China’s push” 1001).</t>
    <phoneticPr fontId="6" type="noConversion"/>
  </si>
  <si>
    <t>1973: Advocacy of restrictive position on maritime scientific research in UNCLOS III debates (Samuels, Contest, 118-132).</t>
    <phoneticPr fontId="6" type="noConversion"/>
  </si>
  <si>
    <t>1982, Sept 26: Vietnam protests PRC energy exploration contract signed with US companies covering Gulf of Tonkin. Protests again February 12, 1983 (Zhang, NSQDDSJ, 93, 95). PRC operations in Yinggehai basin continued to 1988 at least, have probably continued to present.</t>
    <phoneticPr fontId="6" type="noConversion"/>
  </si>
  <si>
    <t>1982: Harbour constructed on Triton Island, closest of the Paracels to Vietnam (VAFIS, “Sovereignty over the two archipelagos.”).</t>
    <phoneticPr fontId="6" type="noConversion"/>
  </si>
  <si>
    <t>1980: PRC leaves sovereignty marker on Scarborough Shoal (Duowei, “Feilübin shu ci tiaoxin”).</t>
    <phoneticPr fontId="6" type="noConversion"/>
  </si>
  <si>
    <t>1979, April: PRC detains 24 Vietnamese military personnel for nearly a year in Paracels after they came within 500 metres of Chinese-held island and allegedly fired on a Chinese patrol boat. (Zhang, NSQDDSJ, 67).</t>
    <phoneticPr fontId="6" type="noConversion"/>
  </si>
  <si>
    <t>1987, April: PLAN chief admiral Liu Huaqing orders PLAN's first combat patrols in Spratlys (Fravel, Strong Borders, 293). From May 16 to June 6 PLAN conducted its first large-scale patrol of the Spratlys, from Northwest Cay to James Shoal (Garver, “China’s push”). Between April and July the PLAN South Sea Fleet conducted surveys of 600,000 sq km of the SCS (Zhang, NSQDDSJ, 113).</t>
    <phoneticPr fontId="6" type="noConversion"/>
  </si>
  <si>
    <t>1983, April 24: PRC State Council announces official names for 287 features, prompting Vietnamese protest at “brutal violation” of its sovereignty (Zhang, NSQDDSJ, 97).</t>
    <phoneticPr fontId="6" type="noConversion"/>
  </si>
  <si>
    <t>1983, May: PLAN supply ship and transport ship conduct first mission to southern Spratly Islands, including exercises at James Shoal (Zhang, NSQDDSJ, 97).</t>
    <phoneticPr fontId="6" type="noConversion"/>
  </si>
  <si>
    <t>1984, May-July: first CAS comprehensive survey of Spratly Islands (CAS, Zonghe Diaocha Baogao).</t>
    <phoneticPr fontId="6" type="noConversion"/>
  </si>
  <si>
    <t>1992, January 11: PRC sends largest-ever group of 24 Hainan officials and PLA officers, on 12-day inspection of southern Spratlys, where they drop seven sovereignty markers (Yeung, “Group sent to Spratlys”).</t>
    <phoneticPr fontId="6" type="noConversion"/>
  </si>
  <si>
    <t>1988, August 3: “offensive and defensive” PLA training exercises in Spratlys (Dinmore, “China’s navy on maneouvres”). Similar PLAN exercises were reported in October, 1989.</t>
    <phoneticPr fontId="6" type="noConversion"/>
  </si>
  <si>
    <t>1985, December 31: CCP General Secretary Hu Yaobang, and PLAN commander Liu Huaqing visit Paracels (Fravel, Strong Borders, 292).</t>
    <phoneticPr fontId="6" type="noConversion"/>
  </si>
  <si>
    <t>1989, February 5: Construction begins on harbours on Duncan, Woody, East and Triton Islands (Nansha, “Nanhai Zhudao dashi nianbiao”).</t>
    <phoneticPr fontId="6" type="noConversion"/>
  </si>
  <si>
    <t>Total</t>
    <phoneticPr fontId="6" type="noConversion"/>
  </si>
  <si>
    <t>1980, Sept: PRC Civil Aviation Administration tells international counterparts that from October, airlines would have to avoid a “danger zone” near Hainan. This forced diversions, especially in the high-traffic HK-Bangkok route (Zhang, NSQDDSJ, 89) According to Garver there were four danger zones, and the area was between Hainan and the Paracels, “thereby forcing international airlines to negotiate with China as sovereign power” (Garver, “China’s push,” 1007).</t>
    <phoneticPr fontId="6" type="noConversion"/>
  </si>
  <si>
    <r>
      <t>1988: major spike in People’s Daily articles asserting SCS island sovereignty. On December 15, PRC media make high-profile commemorations of the 42nd anniversary of the “retrieval” (</t>
    </r>
    <r>
      <rPr>
        <sz val="10"/>
        <color indexed="8"/>
        <rFont val="ヒラギノ角ゴ Pro W6"/>
        <family val="2"/>
        <charset val="128"/>
      </rPr>
      <t>收复</t>
    </r>
    <r>
      <rPr>
        <sz val="10"/>
        <color indexed="8"/>
        <rFont val="Times New Roman"/>
        <family val="1"/>
      </rPr>
      <t>) of the Spratlys in 1946, even making mention of the “Taiwan Nationalist Army (</t>
    </r>
    <r>
      <rPr>
        <sz val="10"/>
        <color indexed="8"/>
        <rFont val="ヒラギノ角ゴ Pro W6"/>
        <family val="2"/>
        <charset val="128"/>
      </rPr>
      <t>台湾国民</t>
    </r>
    <r>
      <rPr>
        <sz val="10"/>
        <color indexed="8"/>
        <rFont val="Heiti TC Light"/>
        <charset val="136"/>
      </rPr>
      <t>军队</t>
    </r>
    <r>
      <rPr>
        <sz val="10"/>
        <color indexed="8"/>
        <rFont val="Times New Roman"/>
        <family val="1"/>
      </rPr>
      <t>) continuously occupying Taiping Island over the long-term” (Zhang, NSQDDSJ, 172-3).</t>
    </r>
    <phoneticPr fontId="6" type="noConversion"/>
  </si>
  <si>
    <t>1988, January: PRC’s first occupation of Spratly feature, Fiery Cross Reef, followed by five more occupations in March (Liu Huaqing, Huiyilu, 540-541).</t>
    <phoneticPr fontId="6" type="noConversion"/>
  </si>
  <si>
    <t>2000, December: US protests interceptions of surveillance jets above SCS (Myers, “Collision with China”).</t>
    <phoneticPr fontId="6" type="noConversion"/>
  </si>
  <si>
    <t>2001: Repeated harassment of US military aircraft and surveillance ships in SCS EEZ, including EP-3 incident (Vincent, “China and the United Nations Convention,” 10).</t>
    <phoneticPr fontId="6" type="noConversion"/>
  </si>
  <si>
    <t>1997-1999: Seven CAS Spratly surveys for 9th Five-Year Plan (Anhui, “’Jiu-Wu’ Nansha Qundao”)</t>
    <phoneticPr fontId="6" type="noConversion"/>
  </si>
  <si>
    <t>1997, March 7: Kantan-3 oil exploration rig drills 103km from Vietnamese coast (Balfour, “Analysts puzzled”).</t>
    <phoneticPr fontId="6" type="noConversion"/>
  </si>
  <si>
    <r>
      <t>1986: Spratly fishing increases (CQCB, “Chuanzhang cheng”), following State Council “Directive regarding the relaxation of policies, and accelerated development of marine production” (</t>
    </r>
    <r>
      <rPr>
        <sz val="10"/>
        <color indexed="8"/>
        <rFont val="ヒラギノ角ゴ Pro W6"/>
        <family val="2"/>
        <charset val="128"/>
      </rPr>
      <t>关于放</t>
    </r>
    <r>
      <rPr>
        <sz val="10"/>
        <color indexed="8"/>
        <rFont val="Heiti TC Light"/>
        <charset val="136"/>
      </rPr>
      <t>宽</t>
    </r>
    <r>
      <rPr>
        <sz val="10"/>
        <color indexed="8"/>
        <rFont val="ヒラギノ角ゴ Pro W6"/>
        <family val="2"/>
        <charset val="128"/>
      </rPr>
      <t>政策</t>
    </r>
    <r>
      <rPr>
        <sz val="10"/>
        <color indexed="8"/>
        <rFont val="Apple Symbols"/>
      </rPr>
      <t>，</t>
    </r>
    <r>
      <rPr>
        <sz val="10"/>
        <color indexed="8"/>
        <rFont val="ヒラギノ角ゴ Pro W6"/>
        <family val="2"/>
        <charset val="128"/>
      </rPr>
      <t>加速</t>
    </r>
    <r>
      <rPr>
        <sz val="10"/>
        <color indexed="8"/>
        <rFont val="Heiti TC Light"/>
        <charset val="136"/>
      </rPr>
      <t>发</t>
    </r>
    <r>
      <rPr>
        <sz val="10"/>
        <color indexed="8"/>
        <rFont val="ヒラギノ角ゴ Pro W6"/>
        <family val="2"/>
        <charset val="128"/>
      </rPr>
      <t>展水</t>
    </r>
    <r>
      <rPr>
        <sz val="10"/>
        <color indexed="8"/>
        <rFont val="Heiti TC Light"/>
        <charset val="136"/>
      </rPr>
      <t>产业</t>
    </r>
    <r>
      <rPr>
        <sz val="10"/>
        <color indexed="8"/>
        <rFont val="ヒラギノ角ゴ Pro W6"/>
        <family val="2"/>
        <charset val="128"/>
      </rPr>
      <t>的指示</t>
    </r>
    <r>
      <rPr>
        <sz val="10"/>
        <color indexed="8"/>
        <rFont val="Times New Roman"/>
        <family val="1"/>
      </rPr>
      <t>) issued in March 1985, and Department of Agriculture and Fisheries approval of "dive-fishing boats (</t>
    </r>
    <r>
      <rPr>
        <sz val="10"/>
        <color indexed="8"/>
        <rFont val="ヒラギノ角ゴ Pro W6"/>
        <family val="2"/>
        <charset val="128"/>
      </rPr>
      <t>潜水采捕</t>
    </r>
    <r>
      <rPr>
        <sz val="10"/>
        <color indexed="8"/>
        <rFont val="Heiti TC Light"/>
        <charset val="136"/>
      </rPr>
      <t>渔</t>
    </r>
    <r>
      <rPr>
        <sz val="10"/>
        <color indexed="8"/>
        <rFont val="ヒラギノ角ゴ Pro W6"/>
        <family val="2"/>
        <charset val="128"/>
      </rPr>
      <t>船</t>
    </r>
    <r>
      <rPr>
        <sz val="10"/>
        <color indexed="8"/>
        <rFont val="Times New Roman"/>
        <family val="1"/>
      </rPr>
      <t xml:space="preserve">) from Qionghai, Hainan, to revive production in the Spratlys” (SOA, ZGHYNJ 1994-1996, 45). </t>
    </r>
    <phoneticPr fontId="6" type="noConversion"/>
  </si>
  <si>
    <t>1987: Spike in People’s Daily articles claiming SCS island sovereignty.</t>
    <phoneticPr fontId="6" type="noConversion"/>
  </si>
  <si>
    <t>1992, June: People’s Daily announces first-ever archaeological dig in Spratlys has proved Chinese people’s discovery and use of islands dating back to Qin and Han Dynasties (Jia Yuping, “Nansha chutu”). Politicization of archaeological findings has been fairly continuous since.</t>
    <phoneticPr fontId="6" type="noConversion"/>
  </si>
  <si>
    <t>1989: PRC begins construction on new airstrip in Paracels. On December 22, Vietnamese state radio quotes a FM spokesman saying China is building an airstrip in the Paracels. "This act of China not only violated Vietnam's sovereignty but also endangered other nations in the region," (Bangkok Post, “Vietnam says China building airbase on Spratlys”). Construction was completed 1991.</t>
    <phoneticPr fontId="6" type="noConversion"/>
  </si>
  <si>
    <t>1991: increased People’s Daily assertions of SCS island sovereignty</t>
    <phoneticPr fontId="6" type="noConversion"/>
  </si>
  <si>
    <t>1988, June 11: People’s Daily reports Fiery Cross Reef construction is being accelerated, and that an artificial harbour and reclaimed island have appeared on the reef (Zhang, NSQDDSJ, 162). On August 2 construction declared complete, and State Council and CMC issued awards to the constructors (Zhang, NSQDDSJ, 164).</t>
    <phoneticPr fontId="6" type="noConversion"/>
  </si>
  <si>
    <t>2004, July 6: Ministry of Land and Resources gives PetroChina permission to explore for oil and gas in the southern part of the South China Sea (Reuters, “PetroChina to explore in Spratly chain”).</t>
    <phoneticPr fontId="6" type="noConversion"/>
  </si>
  <si>
    <t>2002: First mention of enforcement of SCS fishing ban against foreign fishing boats in Fisheries Yearbook (Fisheries, ZGYYNJ 2003, 141).</t>
    <phoneticPr fontId="6" type="noConversion"/>
  </si>
  <si>
    <t>2004: Spike in People’s Daily island sovereignty claims.</t>
    <phoneticPr fontId="6" type="noConversion"/>
  </si>
  <si>
    <t xml:space="preserve">2008: Regular rights defense patrols increase (CCTV, “Lan jiang weishi”).
</t>
    <phoneticPr fontId="6" type="noConversion"/>
  </si>
  <si>
    <t>1995, May 13: PRC ships block a Philippines Navy vessel headed for Spratlys with journalists on board (Zhang, NSQDDSJ, 279-280; also entry #4028 in Ghosn, Palmer and Bremer, “Dispute narratives.”)</t>
    <phoneticPr fontId="6" type="noConversion"/>
  </si>
  <si>
    <t>1993: Three CAS Spratly surveys, and two more in 1994 (Zhang, NSQDDSJ, 298-299).</t>
    <phoneticPr fontId="6" type="noConversion"/>
  </si>
  <si>
    <t>1994: PRC “built a one-meter-high concrete monument” on Scarborough Shoal (Zhong Sheng, “China has adequate legal basis.”). Destroyed by Philippines authorities in 1997.</t>
    <phoneticPr fontId="6" type="noConversion"/>
  </si>
  <si>
    <t>1992, Sept 4: Vietnam summons PRC ambassador to protest and demand removal of a survey ship and drilling ship in Gulf of Tonkin. Reuters describes this as the toughest statement against Chinese actions since February. Hainan TV reports the ship, Hainan-6, is on a drilling mission from September 4 to March 4, and Vietnamese news report says it is in waters 70nm from the Vietnamese coast (Zhang, NSQDDSJ, 233).</t>
    <phoneticPr fontId="6" type="noConversion"/>
  </si>
  <si>
    <t>1993, April 19: Jiang Zemin visits Paracels, along with Defense Minister Chi Haotian and Hainan Provincial Party Secretary (Nansha, “Nanhai Zhudao dashi nianbiao”).</t>
    <phoneticPr fontId="6" type="noConversion"/>
  </si>
  <si>
    <t>2009: Regular rights defense patrols increase in SCS (CCTV, “Lan jiang weishi”).</t>
    <phoneticPr fontId="6" type="noConversion"/>
  </si>
  <si>
    <t>2009: Detentions of Vietnamese fishing boats in the Paracels peak at 33 for the year, according to Vietnamese sources, having numbered less than 30 across the previous 4 years from 2005 to 2008 (Fravel, “China’s strategy,” 305).</t>
    <phoneticPr fontId="6" type="noConversion"/>
  </si>
  <si>
    <t>2009, March: Nine-dash line attached to official diplomatic communication for the first time.</t>
    <phoneticPr fontId="6" type="noConversion"/>
  </si>
  <si>
    <t>1998: Unprecedentedly large structures built on Mischief Reef.</t>
    <phoneticPr fontId="6" type="noConversion"/>
  </si>
  <si>
    <t>1999: number of People’s Daily articles on SCS &amp; sovereignty increases ninefold.</t>
    <phoneticPr fontId="6" type="noConversion"/>
  </si>
  <si>
    <t>2013: PLAN ship forces USS Cowpens to stop while shadowing Liaoning aircraft carrier in South China Sea. Vessels came within 500m (Li Jing, “United States and Chinese warships nearly collide”). US also complained of “unsafe” aerial passes in 2014.</t>
    <phoneticPr fontId="6" type="noConversion"/>
  </si>
  <si>
    <t>1994, October: Vietnam complains about Chinese fishers “violating” its waters; PRC embassy in Hanoi confirms increased numbers in both Spratlys and Paracels (Torode, “Boats blamed for entering Viet waters.”). This was preceded by a major PRC fisheries survey, and in March 1995 the Philippines also protested increases in Chinese fishing in the eastern Spratlys (Kyodo, “Philipine to send 90-100 marines to Spratlys”).</t>
    <phoneticPr fontId="6" type="noConversion"/>
  </si>
  <si>
    <t>2005, January 8: PRC Maritime Police kill 9 Vietnamese fishers, and wound "many" more. (State Department, “Chinese missteps”).</t>
    <phoneticPr fontId="6" type="noConversion"/>
  </si>
  <si>
    <t>2005: PRC’s NASMG launches crackdown on maps without nine-dash line (Xinhua, “China cracks down on erroneous maps.”).</t>
    <phoneticPr fontId="6" type="noConversion"/>
  </si>
  <si>
    <t>2006: Lobbying campaign against foreign oil companies cooperating with Vietnam begins (Fravel, “China’s strategy,” 303).</t>
    <phoneticPr fontId="6" type="noConversion"/>
  </si>
  <si>
    <t>2008: Expulsions of Vietnamese fishers in Paracels increase from 100+ in 2007 to 313 in 2008 (Fisheries, ZGYYNJ 2008, 138; Fisheries, ZGYYNJ 2009, 150). Expulsions dropped to 102 in 2009, due to deterrent effect of new policy (NISCSS, “2008-2009 NHXSPGBG,” 49; Fisheries, ZGYYNJ 2010, 124). Expulsion, confiscation of catches and damaging of boats has continued regularly to present.</t>
    <phoneticPr fontId="6" type="noConversion"/>
  </si>
  <si>
    <t>2015: PRC radio voiceovers challenge US, Philippine and Australian aircraft, demanding they leave airspace near Spratly artificial islands (Tiezzi, “'Nearly all' Australian patrols in South China Sea are challenged”). This practice may have begun earlier.</t>
    <phoneticPr fontId="6" type="noConversion"/>
  </si>
  <si>
    <t>2014: PRC begins maintaining permanent presence at Luconia Shoals (Yang et al., “Weilan de mingji”; Bernama, “China’s presence”).</t>
    <phoneticPr fontId="6" type="noConversion"/>
  </si>
  <si>
    <t>2007: Detentions of Vietnamese fishers increase. In one incident in July, a Vietnamese fishing boat sank and one fisherman was killed, according to Vietnam’s military. This was near Woody Island, according to the Vietnam MOFA (State Department, "Vietnam MFA disputes details of article").</t>
    <phoneticPr fontId="6" type="noConversion"/>
  </si>
  <si>
    <t>2005: Non-regular rights defense patrols begin in Gulf of Tonkin border area and parts of the disputed waters (SOA, ZGHYNJ 2006, 164).</t>
    <phoneticPr fontId="6" type="noConversion"/>
  </si>
  <si>
    <t>2010: FLEC ship forces Indonesian vessel to release Chinese fishers (Currie, “Why is China picking fights with Indonesia?”).</t>
    <phoneticPr fontId="6" type="noConversion"/>
  </si>
  <si>
    <t>2011: People’s Daily island sovereignty claims increase.</t>
    <phoneticPr fontId="6" type="noConversion"/>
  </si>
  <si>
    <r>
      <t>1992: Upgrades of Spratly outposts to third generation of “reef forts” (</t>
    </r>
    <r>
      <rPr>
        <sz val="10"/>
        <color indexed="8"/>
        <rFont val="ヒラギノ角ゴ Pro W6"/>
        <family val="2"/>
        <charset val="128"/>
      </rPr>
      <t>礁堡</t>
    </r>
    <r>
      <rPr>
        <sz val="10"/>
        <color indexed="8"/>
        <rFont val="Times New Roman"/>
        <family val="1"/>
      </rPr>
      <t>). China confirmed arrival of building materials at Gaven Reef on July 9 (Nansha, “Nanhai Zhudao dashi nianbiao”). Vietnam makes official diplomatic protest accusing PRC of violating a November 1991 leaders' agreement (Zhang, NSQDDSJ, 225-226).</t>
    </r>
    <phoneticPr fontId="6" type="noConversion"/>
  </si>
  <si>
    <t>2009: People’s Daily SCS island sovereignty claims increase.</t>
    <phoneticPr fontId="6" type="noConversion"/>
  </si>
  <si>
    <t>2013: FLEC ship forces Indonesian vessel to release PRC fishers (Bentley, “Mapping the nine-dash line”; Marshall, “INSIGHT-Remote, gas-rich islands”).</t>
    <phoneticPr fontId="6" type="noConversion"/>
  </si>
  <si>
    <t>2014: People’s Daily island sovereignty claims increase.</t>
    <phoneticPr fontId="6" type="noConversion"/>
  </si>
  <si>
    <r>
      <t>1996, June 18: State Council issues Rules on Foreign-Related Marine Scientific Research, which come into effect on October 1, codifying the PRC position on marine scientific research in the EEZ for the first time in domestic regulations.</t>
    </r>
    <r>
      <rPr>
        <sz val="10"/>
        <color indexed="12"/>
        <rFont val="Times New Roman"/>
        <family val="1"/>
      </rPr>
      <t xml:space="preserve"> </t>
    </r>
    <phoneticPr fontId="6" type="noConversion"/>
  </si>
  <si>
    <t>2012, August: PRC government ships’ presence in southern South China Sea increases, with CMS boats approaching Malaysian survey vessels (Permal, “The rising turbulence”; Clad and Manning, “Commentary: China's bad diplomacy”). The PRC presence in these areas has increased since this time.</t>
    <phoneticPr fontId="6" type="noConversion"/>
  </si>
  <si>
    <t>2011: Regular rights defense patrols increase (CCTV, “Lan jiang weishi”).</t>
    <phoneticPr fontId="6" type="noConversion"/>
  </si>
  <si>
    <t>2012: People’s Daily island sovereignty claims spike further.</t>
    <phoneticPr fontId="6" type="noConversion"/>
  </si>
  <si>
    <t>2012: Regular rights defense patrols increase (CCTV, “Lan jiang weishi”).</t>
    <phoneticPr fontId="6" type="noConversion"/>
  </si>
  <si>
    <t>7 discrepancies spanning coercive &amp; non-coercive (6x ZH says C, AC non-C, 1x AC says C, ZH says non-C), 6 of which have overlapping 2nd choice</t>
    <phoneticPr fontId="6" type="noConversion"/>
  </si>
  <si>
    <t>2015: Spratly island building intensifies (AMTI, "Island Tracker").</t>
    <phoneticPr fontId="6" type="noConversion"/>
  </si>
  <si>
    <t>2014, March: PRC blocks supply ships on way to Second Thomas Shoal (Reuters, “China says expels”).</t>
    <phoneticPr fontId="6" type="noConversion"/>
  </si>
  <si>
    <t>2014, June: two PRC hydrographic ships operate in Reed Bank, Philippines protests (AP, “Philippine leader questions intent”).</t>
    <phoneticPr fontId="6" type="noConversion"/>
  </si>
  <si>
    <t>2015: Malaysian fishers “chased” from Luconia Shoals by Chinese ships (Borneo Post, “Chinese Navy bar local fishermen from Luconia shoals”).</t>
    <phoneticPr fontId="6" type="noConversion"/>
  </si>
  <si>
    <t>2015, July-Nov: three coercive actions against Vietnamese ships around Spratly Islands (Tuoi Tre, “Chinese warship soldiers point guns.”)</t>
    <phoneticPr fontId="6" type="noConversion"/>
  </si>
  <si>
    <t xml:space="preserve">Declarative </t>
    <phoneticPr fontId="6" type="noConversion"/>
  </si>
  <si>
    <t xml:space="preserve">Coercive </t>
    <phoneticPr fontId="6" type="noConversion"/>
  </si>
  <si>
    <t>2013: SCS regular rights defense patrols begin to encompass Luconia Shoals (Xinhua, “Maritime official details China’s 2013 patrols”). Malaysia observes seven “intrusions” by 16 Chinese assets in this area during 2013 (Bentley, “Malaysia’s ‘special relationship’ with China”).</t>
    <phoneticPr fontId="6" type="noConversion"/>
  </si>
  <si>
    <t>2013, April onwards: PRC patrol boats maintain constant presence at Second Thomas Shoal (Quismundo, “Withdraw ships”).</t>
    <phoneticPr fontId="6" type="noConversion"/>
  </si>
  <si>
    <t>2012, July: Sansha City established, upgrading administrative status of former Office for Xisha, Nansha and Zhongsha Affairs. (Xinhua, “Guowuyuan pizhun chexiao”).</t>
    <phoneticPr fontId="6" type="noConversion"/>
  </si>
  <si>
    <r>
      <t xml:space="preserve">2009, March: Harassment of USNS </t>
    </r>
    <r>
      <rPr>
        <i/>
        <sz val="10"/>
        <color indexed="8"/>
        <rFont val="Times New Roman"/>
        <family val="1"/>
      </rPr>
      <t>Impeccable</t>
    </r>
    <r>
      <rPr>
        <sz val="10"/>
        <color indexed="8"/>
        <rFont val="Times New Roman"/>
        <family val="1"/>
      </rPr>
      <t>.</t>
    </r>
    <phoneticPr fontId="6" type="noConversion"/>
  </si>
  <si>
    <t>2010, April: Regular rights defense patrols increase (CCTV, “Lan jiang weishi”). Sovereignty marker dropped on James Shoal “with important historical significance” (SOA, ZGHYNJ 2011, 148).</t>
    <phoneticPr fontId="6" type="noConversion"/>
  </si>
  <si>
    <t>1987, November: Criticism of Philippines by name marks first time since 1970s that PRC had criticized an ASEAN country by name for SCS activities (Chen, “China’s Spratly policy,” 169).</t>
    <phoneticPr fontId="6" type="noConversion"/>
  </si>
  <si>
    <r>
      <t xml:space="preserve">1992, May 8: China awards 25,000 sq km energy concession (WAB-21) to little-known US oil prospecting company Crestone. Last known activity in WAB-21 was in 1994. (Hayton, </t>
    </r>
    <r>
      <rPr>
        <i/>
        <sz val="10"/>
        <color indexed="8"/>
        <rFont val="Times New Roman"/>
        <family val="1"/>
      </rPr>
      <t>South China Sea</t>
    </r>
    <r>
      <rPr>
        <sz val="10"/>
        <color indexed="8"/>
        <rFont val="Times New Roman"/>
        <family val="1"/>
      </rPr>
      <t>)</t>
    </r>
    <phoneticPr fontId="6" type="noConversion"/>
  </si>
  <si>
    <r>
      <t xml:space="preserve">1994, late: China occupies Mischief Reef, establishing a Fisheries Management outpost (Fravel, </t>
    </r>
    <r>
      <rPr>
        <i/>
        <sz val="10"/>
        <color indexed="8"/>
        <rFont val="Times New Roman"/>
        <family val="1"/>
      </rPr>
      <t>Strong Borders</t>
    </r>
    <r>
      <rPr>
        <sz val="10"/>
        <color indexed="8"/>
        <rFont val="Times New Roman"/>
        <family val="1"/>
      </rPr>
      <t>, 296-298.</t>
    </r>
    <phoneticPr fontId="6" type="noConversion"/>
  </si>
  <si>
    <t>2006, June-July: Unilateral oil and gas survey near Paracels with escort that reportedly fended off waves of Vietnamese "armed vessels" (Yang and Peng, "Bihai huige").</t>
    <phoneticPr fontId="6" type="noConversion"/>
  </si>
  <si>
    <t xml:space="preserve">2000: MFA Asian Affairs D-G Fu Ying makes very strong private representations to BP management regarding its involvement in Vietnamese offshore oil block 6.1 (Hayton, South China Sea, 136). </t>
    <phoneticPr fontId="6" type="noConversion"/>
  </si>
  <si>
    <t xml:space="preserve">2012, November: Hainan province passes laws authorizing “board and search” of foreign boats in China’s claimed waters (Lim, “Singapore concerned”; Perlez, “Alarm as China issues rules”). New fishing regulations were also passed in late 2013, updating a 2004 version of the same (Thayer, “China’s new fishing regulations”). </t>
    <phoneticPr fontId="6" type="noConversion"/>
  </si>
  <si>
    <t xml:space="preserve">2013: PLA exercises in South China Sea increase dramatically to at least 12, before returning to post-2010 average of 5-6 the following year. </t>
    <phoneticPr fontId="6" type="noConversion"/>
  </si>
  <si>
    <t>1988, April 13: NPC establishes Hainan Province, naming the three disputed island groups under its jurisdiction. Vietnam calls it “illegal and invalid,” with FM Nguyen saying China was trying to “legalize” its occupation of the Paracels and complete its “violation” of the Spratlys (Zhang, NSQDDSJ, 138-139).</t>
    <phoneticPr fontId="6" type="noConversion"/>
  </si>
  <si>
    <t xml:space="preserve">1991, May 21:Chinese combat exercises dispatching small craft in Spratlys (Nansha, “Nanhai Zhudao dashi nianbiao”). </t>
    <phoneticPr fontId="6" type="noConversion"/>
  </si>
  <si>
    <t>V</t>
  </si>
  <si>
    <t>P</t>
  </si>
  <si>
    <t>MPVU</t>
  </si>
  <si>
    <t>MPV</t>
  </si>
  <si>
    <t>PV</t>
  </si>
  <si>
    <t>M = PRC-Malaysia</t>
  </si>
  <si>
    <t>P = PRC-Philippines</t>
  </si>
  <si>
    <t>U = PRC-US</t>
  </si>
  <si>
    <t>V = PRC-Vietnam</t>
  </si>
  <si>
    <t>B = PRC-Brunei</t>
  </si>
  <si>
    <t>I = PRC- Indonesia</t>
  </si>
  <si>
    <t>A</t>
  </si>
  <si>
    <t>BMPVI</t>
  </si>
  <si>
    <t>BMPV</t>
  </si>
  <si>
    <t>R= PRC-ROC</t>
  </si>
  <si>
    <t>MPVUA</t>
  </si>
  <si>
    <t>BMPVUA</t>
  </si>
  <si>
    <t>VA</t>
  </si>
  <si>
    <t>U</t>
  </si>
  <si>
    <t>BMPVIUA</t>
  </si>
  <si>
    <t>A = all states/unknown/no discernable target</t>
  </si>
  <si>
    <t>I</t>
  </si>
  <si>
    <t>BM</t>
  </si>
  <si>
    <t>M</t>
  </si>
  <si>
    <t xml:space="preserve">Mil force </t>
  </si>
  <si>
    <t>PVA</t>
  </si>
  <si>
    <t>PUA</t>
  </si>
  <si>
    <t>Count</t>
  </si>
  <si>
    <t>Proportion</t>
  </si>
  <si>
    <t>MPRV</t>
  </si>
  <si>
    <t>Case</t>
  </si>
  <si>
    <t>Dyad(s)</t>
  </si>
  <si>
    <t>Possible additional cases</t>
  </si>
  <si>
    <t>\</t>
  </si>
  <si>
    <t>1973: CAS commences comprehensive surveys of the "Paracel sea area" (SOA, ZGHYNJ 1986, 404).</t>
  </si>
  <si>
    <r>
      <t xml:space="preserve">1974, January: PRC evicts South Vietnam from Paracels by force (USARD, </t>
    </r>
    <r>
      <rPr>
        <i/>
        <sz val="10"/>
        <color indexed="8"/>
        <rFont val="Times New Roman"/>
        <family val="1"/>
      </rPr>
      <t>Chinese Amphibious Assaults</t>
    </r>
    <r>
      <rPr>
        <sz val="10"/>
        <color indexed="8"/>
        <rFont val="Times New Roman"/>
        <family val="1"/>
      </rPr>
      <t>).</t>
    </r>
  </si>
  <si>
    <t>1974 January: PRC occupies Southwestern part of the Paracels.  (USARD, Chinese Amphibious Assaults).</t>
  </si>
  <si>
    <t>Guo Jinfu, “Nansha yuye ziyuan de baohu he heli kaifa (Protection and rational development of Spratly fisheries resources),” speech at inaugural Symposium on Spratly Comprehensive Scientific Surveys, Chinese Academy of Sciences, January 1988, in Nansha Wenti Lunwen Ziliao Huibian (Compendium of Essays and Materials on the Spratly Issue), (Beijing: Haijun Junshi Xueshu Yanjiusuo, 1988), pp. 298-303.</t>
  </si>
  <si>
    <t>CAS (Chinese Academy of Sciences), Nansha Qundao Ji Qi Linjin Haiqu Zonghe Diaocha Yanjiu Baogao (Research Report on Comprehensive Survey of the Spratly Islands and Nearby Maritime Areas), (Beijing: Kexue Chubanshe, 1989).</t>
  </si>
  <si>
    <t>Naval Command, "Guanyu 'Nansha Qundao wenti xueshu yantaohui' de qingkuang baogao (Situation report on the 'Academic Symposium on the Spratly Archipelago issue')," in Nansha Wenti Lunwen Ziliao Huibian (Compendium of Essays and Materials on the Spratly Issue), (Beijing: Haijun Junshi Xueshu Yanjiusuo, 1988), p. 8.</t>
  </si>
  <si>
    <t>1980, November 8: First PLAN excursion to Spratlys, with two bombers patrolling. (Zhang, NSQDDSJ, 89).</t>
  </si>
  <si>
    <t>1979, December: first PLA marine corps brigade established in Hainan, with responsibility for the SCS, and Guangdong Provincial government also establishes office on Woody Island (Singh, “Continuity,” 1501).</t>
  </si>
  <si>
    <t>1987, April-May: Fourth CAS Spratly comprehensive survey is the largest yet. Authorized by State Council to "strengthen survey research in Spratly waters," the expedition now had two ships, lasted 1.5 months, and had “major significance for correcting charts, exploiting resources and navigation.” (Zhang, NSQDDSJ, 114) Sovereignty markers were left at Jackson Atoll, and possibility of occupation was investigated. A Ministry of Geology and Mining survey team also erected an official marker on Louisa Reef (Zhang, NSQDDSJ, 120-121).</t>
  </si>
  <si>
    <t>1988, March: PRC uses force for first time in the Spratlys, killing 70 Vietnamese sailors at Johnson Reef  (Liu Huaqing, Huiyilu, 540-541).</t>
  </si>
  <si>
    <r>
      <t xml:space="preserve">May 24: PRC ships lay markers at Iroquois Reef (Houteng Jiao </t>
    </r>
    <r>
      <rPr>
        <sz val="10"/>
        <color theme="1"/>
        <rFont val="Heiti TC Light"/>
        <charset val="136"/>
      </rPr>
      <t>鲎</t>
    </r>
    <r>
      <rPr>
        <sz val="10"/>
        <color theme="1"/>
        <rFont val="ヒラギノ角ゴ Pro W6"/>
        <family val="2"/>
        <charset val="128"/>
      </rPr>
      <t>藤礁</t>
    </r>
    <r>
      <rPr>
        <sz val="10"/>
        <color theme="1"/>
        <rFont val="Times New Roman"/>
        <family val="1"/>
      </rPr>
      <t xml:space="preserve">), PHL protests on May 31. </t>
    </r>
  </si>
  <si>
    <t>Dyads</t>
  </si>
  <si>
    <t>1 = Military-security</t>
  </si>
  <si>
    <t>2 = Administrative control</t>
  </si>
  <si>
    <t>3 = Energy resources</t>
  </si>
  <si>
    <t>4 = Fisheries</t>
  </si>
  <si>
    <t>5 = Political</t>
  </si>
  <si>
    <t>Issues</t>
  </si>
  <si>
    <t>1970s</t>
  </si>
  <si>
    <t>1980s</t>
  </si>
  <si>
    <t>1990s</t>
  </si>
  <si>
    <t>2000s</t>
  </si>
  <si>
    <t>2010s</t>
  </si>
  <si>
    <t>Issue (s)</t>
  </si>
  <si>
    <t xml:space="preserve">2010, May: PRC sends survey ship M/V Western Spirit with unprecedentedly large fleet of escort ships to conduct seismic surveys near Triton Island (Thuy, “Recent developments,” 11; Martinson “Shepherds,” 199). </t>
  </si>
  <si>
    <t>No. of years</t>
  </si>
  <si>
    <t>1977, July: first PLAN patrols to the Spratly Islands (Naval Command, "Guanyu 'Nansha Qundao wenti'", 8; Zhang, NSQDDSJ, 58).</t>
  </si>
  <si>
    <t>Demonstrative</t>
  </si>
  <si>
    <r>
      <t xml:space="preserve">2012, May: Informal economic sanctions on Philippines over Scarborough Shoal standoff. (Zhang, "Cautious Bully"; Chubb, </t>
    </r>
    <r>
      <rPr>
        <i/>
        <sz val="10"/>
        <color indexed="8"/>
        <rFont val="Times New Roman"/>
        <family val="1"/>
      </rPr>
      <t>Chinese Nationalism and the Gray Zone</t>
    </r>
    <r>
      <rPr>
        <sz val="10"/>
        <color indexed="8"/>
        <rFont val="Times New Roman"/>
        <family val="1"/>
      </rPr>
      <t>)</t>
    </r>
  </si>
  <si>
    <t>PRC deep-sea submersible Jiaolong plants flag on sea floor in August - not clear if it was in disputed area.</t>
  </si>
  <si>
    <t>1997, mid-year: PRC sends surveillance ships to Scarborough after PHL interferes with ham radio enthusiasts (Zhang, "Cautious Bully" online appendix). This appears to be in response to an unprecedented situation, so it is not clear that PRC would have reacted less assertively in earlier years.</t>
  </si>
  <si>
    <t>1996, April: PRC threatens economic punishment against Conoco after Vietnam grants it oil exploration rights (Zhang, "Cautious Bully" online appendix).</t>
  </si>
  <si>
    <r>
      <t>1994, late July: large PLA exercises on Hainan: "Military analysts described the war game as the most spectacular on the island since the Cultural Revolution." (Inter Press, "China: Military becomes more active in diplomacy")</t>
    </r>
    <r>
      <rPr>
        <sz val="10"/>
        <color indexed="12"/>
        <rFont val="Times New Roman"/>
        <family val="1"/>
      </rPr>
      <t xml:space="preserve"> </t>
    </r>
  </si>
  <si>
    <t>2015: Vietnam alleges obstruction of at least four rescue missions in Paracels  ("Chinese boats tried to sabotage Vietnam’s rescue mission") But these may have been the result of change in Vietnamese policy (ie. trying to rescue fishers from PRC harassment.)</t>
  </si>
  <si>
    <t>2007, July 3: China creates Sansha city, though it doesn't publicize (Do Thanh Hai &amp; Nguyen Thuy Linh 'China's policy towards'). Plan was shelved until June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</si>
</sst>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0"/>
      <name val="Verdana"/>
    </font>
    <font>
      <b/>
      <sz val="10"/>
      <name val="Verdana"/>
      <family val="2"/>
    </font>
    <font>
      <sz val="10"/>
      <name val="Verdana"/>
      <family val="2"/>
    </font>
    <font>
      <b/>
      <sz val="10"/>
      <name val="Verdana"/>
      <family val="2"/>
    </font>
    <font>
      <sz val="10"/>
      <name val="Verdana"/>
      <family val="2"/>
    </font>
    <font>
      <b/>
      <sz val="10"/>
      <name val="Verdana"/>
      <family val="2"/>
    </font>
    <font>
      <sz val="8"/>
      <name val="Verdana"/>
      <family val="2"/>
    </font>
    <font>
      <sz val="10"/>
      <name val="Times New Roman"/>
      <family val="1"/>
    </font>
    <font>
      <sz val="10"/>
      <color indexed="8"/>
      <name val="Times New Roman"/>
      <family val="1"/>
    </font>
    <font>
      <sz val="10"/>
      <color indexed="8"/>
      <name val="Verdana"/>
      <family val="2"/>
    </font>
    <font>
      <sz val="10"/>
      <color indexed="8"/>
      <name val="Heiti TC Light"/>
      <charset val="136"/>
    </font>
    <font>
      <sz val="10"/>
      <color indexed="8"/>
      <name val="Apple Symbols"/>
    </font>
    <font>
      <i/>
      <sz val="10"/>
      <color indexed="8"/>
      <name val="Times New Roman"/>
      <family val="1"/>
    </font>
    <font>
      <b/>
      <sz val="10"/>
      <color indexed="8"/>
      <name val="Verdana"/>
      <family val="2"/>
    </font>
    <font>
      <sz val="10"/>
      <color indexed="10"/>
      <name val="Verdana"/>
      <family val="2"/>
    </font>
    <font>
      <sz val="10"/>
      <color indexed="10"/>
      <name val="Times New Roman"/>
      <family val="1"/>
    </font>
    <font>
      <sz val="10"/>
      <name val="Verdana"/>
      <family val="2"/>
    </font>
    <font>
      <b/>
      <sz val="10"/>
      <color indexed="10"/>
      <name val="Verdana"/>
      <family val="2"/>
    </font>
    <font>
      <b/>
      <sz val="10"/>
      <color indexed="10"/>
      <name val="Times New Roman"/>
      <family val="1"/>
    </font>
    <font>
      <sz val="10"/>
      <color indexed="12"/>
      <name val="Times New Roman"/>
      <family val="1"/>
    </font>
    <font>
      <sz val="10"/>
      <color indexed="8"/>
      <name val="ヒラギノ角ゴ Pro W6"/>
      <family val="2"/>
      <charset val="128"/>
    </font>
    <font>
      <b/>
      <sz val="10"/>
      <name val="Times New Roman"/>
      <family val="1"/>
    </font>
    <font>
      <b/>
      <sz val="10"/>
      <color indexed="12"/>
      <name val="Times New Roman"/>
      <family val="1"/>
    </font>
    <font>
      <sz val="10"/>
      <name val="Cambria"/>
      <family val="1"/>
    </font>
    <font>
      <i/>
      <sz val="10"/>
      <name val="Times New Roman"/>
      <family val="1"/>
    </font>
    <font>
      <sz val="10"/>
      <name val="Arial"/>
      <family val="2"/>
    </font>
    <font>
      <sz val="10"/>
      <color indexed="8"/>
      <name val="Arial"/>
      <family val="2"/>
    </font>
    <font>
      <sz val="10"/>
      <color indexed="10"/>
      <name val="Arial"/>
      <family val="2"/>
    </font>
    <font>
      <sz val="12"/>
      <color indexed="8"/>
      <name val="Verdana"/>
      <family val="2"/>
    </font>
    <font>
      <sz val="12"/>
      <color indexed="8"/>
      <name val="Times New Roman"/>
      <family val="1"/>
    </font>
    <font>
      <sz val="10"/>
      <color theme="1"/>
      <name val="Verdana"/>
      <family val="2"/>
    </font>
    <font>
      <sz val="10"/>
      <color theme="1"/>
      <name val="Times New Roman"/>
      <family val="1"/>
    </font>
    <font>
      <sz val="10"/>
      <color theme="1"/>
      <name val="Heiti TC Light"/>
      <charset val="136"/>
    </font>
    <font>
      <sz val="10"/>
      <color theme="1"/>
      <name val="ヒラギノ角ゴ Pro W6"/>
      <family val="2"/>
      <charset val="128"/>
    </font>
    <font>
      <b/>
      <sz val="10"/>
      <color theme="1"/>
      <name val="Verdana"/>
      <family val="2"/>
    </font>
  </fonts>
  <fills count="4">
    <fill>
      <patternFill patternType="none"/>
    </fill>
    <fill>
      <patternFill patternType="gray125"/>
    </fill>
    <fill>
      <patternFill patternType="solid">
        <fgColor indexed="9"/>
        <bgColor indexed="64"/>
      </patternFill>
    </fill>
    <fill>
      <patternFill patternType="solid">
        <fgColor indexed="40"/>
        <bgColor indexed="64"/>
      </patternFill>
    </fill>
  </fills>
  <borders count="6">
    <border>
      <left/>
      <right/>
      <top/>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s>
  <cellStyleXfs count="1">
    <xf numFmtId="0" fontId="0" fillId="0" borderId="0"/>
  </cellStyleXfs>
  <cellXfs count="149">
    <xf numFmtId="0" fontId="0" fillId="0" borderId="0" xfId="0"/>
    <xf numFmtId="0" fontId="0" fillId="0" borderId="0" xfId="0" applyBorder="1"/>
    <xf numFmtId="0" fontId="0" fillId="0" borderId="0" xfId="0" applyBorder="1" applyAlignment="1">
      <alignment wrapText="1"/>
    </xf>
    <xf numFmtId="0" fontId="0" fillId="0" borderId="1" xfId="0" applyBorder="1"/>
    <xf numFmtId="0" fontId="5" fillId="0" borderId="0" xfId="0" applyFont="1" applyBorder="1" applyAlignment="1">
      <alignment horizontal="left" wrapText="1"/>
    </xf>
    <xf numFmtId="2" fontId="0" fillId="0" borderId="0" xfId="0" applyNumberFormat="1" applyBorder="1" applyAlignment="1">
      <alignment horizontal="left" wrapText="1"/>
    </xf>
    <xf numFmtId="2" fontId="5" fillId="0" borderId="0" xfId="0" applyNumberFormat="1" applyFont="1" applyBorder="1" applyAlignment="1">
      <alignment horizontal="left" wrapText="1"/>
    </xf>
    <xf numFmtId="0" fontId="9" fillId="0" borderId="0" xfId="0" applyFont="1" applyBorder="1" applyAlignment="1">
      <alignment wrapText="1"/>
    </xf>
    <xf numFmtId="0" fontId="8" fillId="0" borderId="0" xfId="0" applyFont="1" applyAlignment="1">
      <alignment vertical="top" wrapText="1"/>
    </xf>
    <xf numFmtId="0" fontId="8" fillId="0" borderId="0" xfId="0" applyFont="1" applyAlignment="1">
      <alignment wrapText="1"/>
    </xf>
    <xf numFmtId="0" fontId="13" fillId="0" borderId="0" xfId="0" applyFont="1" applyBorder="1" applyAlignment="1">
      <alignment wrapText="1"/>
    </xf>
    <xf numFmtId="0" fontId="9" fillId="0" borderId="0" xfId="0" applyFont="1" applyBorder="1"/>
    <xf numFmtId="0" fontId="0" fillId="0" borderId="0" xfId="0" applyBorder="1" applyAlignment="1">
      <alignment horizontal="center" wrapText="1"/>
    </xf>
    <xf numFmtId="0" fontId="5" fillId="0" borderId="0" xfId="0" applyFont="1" applyBorder="1" applyAlignment="1">
      <alignment horizontal="center"/>
    </xf>
    <xf numFmtId="0" fontId="0" fillId="0" borderId="0" xfId="0" applyBorder="1" applyAlignment="1">
      <alignment horizontal="center"/>
    </xf>
    <xf numFmtId="0" fontId="0" fillId="0" borderId="0" xfId="0" applyFill="1" applyBorder="1" applyAlignment="1">
      <alignment horizontal="center"/>
    </xf>
    <xf numFmtId="0" fontId="0" fillId="0" borderId="3" xfId="0" applyBorder="1" applyAlignment="1">
      <alignment wrapText="1"/>
    </xf>
    <xf numFmtId="0" fontId="7" fillId="0" borderId="3" xfId="0" applyFont="1" applyBorder="1" applyAlignment="1">
      <alignment vertical="top" wrapText="1"/>
    </xf>
    <xf numFmtId="0" fontId="0" fillId="0" borderId="0" xfId="0" applyBorder="1" applyAlignment="1">
      <alignment vertical="top" wrapText="1"/>
    </xf>
    <xf numFmtId="0" fontId="9" fillId="0" borderId="0" xfId="0" applyFont="1" applyBorder="1" applyAlignment="1">
      <alignment vertical="top" wrapText="1"/>
    </xf>
    <xf numFmtId="0" fontId="8" fillId="0" borderId="1" xfId="0" applyFont="1" applyBorder="1" applyAlignment="1">
      <alignment vertical="top" wrapText="1"/>
    </xf>
    <xf numFmtId="0" fontId="8" fillId="0" borderId="0" xfId="0" applyFont="1" applyBorder="1" applyAlignment="1">
      <alignment vertical="top" wrapText="1"/>
    </xf>
    <xf numFmtId="0" fontId="3" fillId="0" borderId="2" xfId="0" applyFont="1" applyBorder="1"/>
    <xf numFmtId="0" fontId="16" fillId="0" borderId="0" xfId="0" applyFont="1" applyBorder="1"/>
    <xf numFmtId="0" fontId="13" fillId="0" borderId="2" xfId="0" applyFont="1" applyBorder="1" applyAlignment="1">
      <alignment vertical="top" wrapText="1"/>
    </xf>
    <xf numFmtId="0" fontId="13" fillId="0" borderId="0" xfId="0" applyFont="1" applyBorder="1" applyAlignment="1">
      <alignment vertical="top" wrapText="1"/>
    </xf>
    <xf numFmtId="0" fontId="3" fillId="0" borderId="0" xfId="0" applyFont="1" applyBorder="1"/>
    <xf numFmtId="49" fontId="3" fillId="0" borderId="0" xfId="0" applyNumberFormat="1" applyFont="1" applyBorder="1" applyAlignment="1">
      <alignment wrapText="1"/>
    </xf>
    <xf numFmtId="49" fontId="13" fillId="0" borderId="0" xfId="0" applyNumberFormat="1" applyFont="1" applyBorder="1" applyAlignment="1">
      <alignment wrapText="1"/>
    </xf>
    <xf numFmtId="49" fontId="3" fillId="0" borderId="0" xfId="0" applyNumberFormat="1" applyFont="1" applyBorder="1" applyAlignment="1">
      <alignment horizontal="center" wrapText="1"/>
    </xf>
    <xf numFmtId="0" fontId="4" fillId="0" borderId="0" xfId="0" applyFont="1" applyBorder="1" applyAlignment="1">
      <alignment horizontal="left"/>
    </xf>
    <xf numFmtId="0" fontId="8" fillId="0" borderId="3" xfId="0" applyFont="1" applyBorder="1" applyAlignment="1">
      <alignment vertical="top" wrapText="1"/>
    </xf>
    <xf numFmtId="0" fontId="17" fillId="0" borderId="2" xfId="0" applyFont="1" applyBorder="1" applyAlignment="1">
      <alignment vertical="top" wrapText="1"/>
    </xf>
    <xf numFmtId="0" fontId="13" fillId="0" borderId="2" xfId="0" applyFont="1" applyBorder="1" applyAlignment="1">
      <alignment wrapText="1"/>
    </xf>
    <xf numFmtId="0" fontId="13" fillId="0" borderId="2" xfId="0" applyFont="1" applyBorder="1"/>
    <xf numFmtId="0" fontId="14" fillId="0" borderId="0" xfId="0" applyFont="1" applyBorder="1"/>
    <xf numFmtId="0" fontId="8" fillId="0" borderId="0" xfId="0" applyFont="1" applyBorder="1"/>
    <xf numFmtId="0" fontId="8" fillId="0" borderId="0" xfId="0" applyFont="1" applyBorder="1" applyAlignment="1">
      <alignment wrapText="1"/>
    </xf>
    <xf numFmtId="0" fontId="7" fillId="0" borderId="0" xfId="0" applyFont="1" applyBorder="1" applyAlignment="1">
      <alignment horizontal="center" wrapText="1"/>
    </xf>
    <xf numFmtId="0" fontId="7" fillId="0" borderId="0" xfId="0" applyFont="1" applyBorder="1" applyAlignment="1">
      <alignment wrapText="1"/>
    </xf>
    <xf numFmtId="0" fontId="7" fillId="0" borderId="1" xfId="0" applyFont="1" applyBorder="1" applyAlignment="1">
      <alignment horizontal="center" wrapText="1"/>
    </xf>
    <xf numFmtId="0" fontId="7" fillId="0" borderId="1" xfId="0" applyFont="1" applyBorder="1" applyAlignment="1">
      <alignment wrapText="1"/>
    </xf>
    <xf numFmtId="0" fontId="21" fillId="0" borderId="2" xfId="0" applyFont="1" applyBorder="1" applyAlignment="1">
      <alignment horizontal="center" wrapText="1"/>
    </xf>
    <xf numFmtId="0" fontId="21" fillId="0" borderId="2" xfId="0" applyFont="1" applyBorder="1" applyAlignment="1">
      <alignment wrapText="1"/>
    </xf>
    <xf numFmtId="0" fontId="21" fillId="0" borderId="0" xfId="0" applyFont="1" applyBorder="1" applyAlignment="1">
      <alignment horizontal="center" wrapText="1"/>
    </xf>
    <xf numFmtId="0" fontId="21" fillId="0" borderId="0" xfId="0" applyFont="1" applyBorder="1" applyAlignment="1">
      <alignment wrapText="1"/>
    </xf>
    <xf numFmtId="0" fontId="7" fillId="0" borderId="0" xfId="0" applyFont="1" applyFill="1" applyBorder="1" applyAlignment="1">
      <alignment horizontal="center" wrapText="1"/>
    </xf>
    <xf numFmtId="0" fontId="7" fillId="0" borderId="1" xfId="0" applyFont="1" applyFill="1" applyBorder="1" applyAlignment="1">
      <alignment horizontal="center" wrapText="1"/>
    </xf>
    <xf numFmtId="0" fontId="21" fillId="0" borderId="0" xfId="0" applyFont="1" applyFill="1" applyBorder="1" applyAlignment="1">
      <alignment horizontal="center" wrapText="1"/>
    </xf>
    <xf numFmtId="0" fontId="7" fillId="0" borderId="0" xfId="0" applyFont="1" applyAlignment="1">
      <alignment horizontal="center" wrapText="1"/>
    </xf>
    <xf numFmtId="0" fontId="7" fillId="0" borderId="0" xfId="0" applyFont="1" applyBorder="1" applyAlignment="1">
      <alignment horizontal="center"/>
    </xf>
    <xf numFmtId="0" fontId="7" fillId="0" borderId="2" xfId="0" applyFont="1" applyBorder="1" applyAlignment="1">
      <alignment wrapText="1"/>
    </xf>
    <xf numFmtId="0" fontId="7" fillId="0" borderId="3" xfId="0" applyFont="1" applyBorder="1" applyAlignment="1">
      <alignment wrapText="1"/>
    </xf>
    <xf numFmtId="0" fontId="7" fillId="0" borderId="4" xfId="0" applyFont="1" applyBorder="1" applyAlignment="1">
      <alignment wrapText="1"/>
    </xf>
    <xf numFmtId="0" fontId="21" fillId="0" borderId="5" xfId="0" applyFont="1" applyBorder="1" applyAlignment="1">
      <alignment wrapText="1"/>
    </xf>
    <xf numFmtId="0" fontId="21" fillId="0" borderId="3" xfId="0" applyFont="1" applyBorder="1" applyAlignment="1">
      <alignment wrapText="1"/>
    </xf>
    <xf numFmtId="0" fontId="19" fillId="0" borderId="3" xfId="0" applyFont="1" applyBorder="1" applyAlignment="1">
      <alignment wrapText="1"/>
    </xf>
    <xf numFmtId="0" fontId="15" fillId="0" borderId="3" xfId="0" applyFont="1" applyBorder="1" applyAlignment="1">
      <alignment wrapText="1"/>
    </xf>
    <xf numFmtId="0" fontId="18" fillId="0" borderId="5" xfId="0" applyFont="1" applyBorder="1" applyAlignment="1">
      <alignment wrapText="1"/>
    </xf>
    <xf numFmtId="0" fontId="22" fillId="0" borderId="5" xfId="0" applyFont="1" applyBorder="1" applyAlignment="1">
      <alignment wrapText="1"/>
    </xf>
    <xf numFmtId="0" fontId="7" fillId="0" borderId="5" xfId="0" applyFont="1" applyBorder="1" applyAlignment="1">
      <alignment vertical="top" wrapText="1"/>
    </xf>
    <xf numFmtId="0" fontId="8" fillId="0" borderId="3" xfId="0" applyFont="1" applyBorder="1" applyAlignment="1">
      <alignment wrapText="1"/>
    </xf>
    <xf numFmtId="0" fontId="7" fillId="0" borderId="0" xfId="0" applyFont="1" applyAlignment="1">
      <alignment vertical="top" wrapText="1"/>
    </xf>
    <xf numFmtId="0" fontId="23" fillId="0" borderId="0" xfId="0" applyFont="1" applyAlignment="1">
      <alignment wrapText="1"/>
    </xf>
    <xf numFmtId="0" fontId="7" fillId="0" borderId="0" xfId="0" applyFont="1" applyAlignment="1">
      <alignment wrapText="1"/>
    </xf>
    <xf numFmtId="0" fontId="21" fillId="0" borderId="2" xfId="0" applyFont="1" applyBorder="1" applyAlignment="1" applyProtection="1">
      <alignment horizontal="center" wrapText="1"/>
    </xf>
    <xf numFmtId="0" fontId="21" fillId="0" borderId="2" xfId="0" applyFont="1" applyBorder="1" applyAlignment="1" applyProtection="1">
      <alignment wrapText="1"/>
    </xf>
    <xf numFmtId="0" fontId="22" fillId="0" borderId="5" xfId="0" applyFont="1" applyBorder="1" applyAlignment="1" applyProtection="1">
      <alignment wrapText="1"/>
    </xf>
    <xf numFmtId="0" fontId="3" fillId="0" borderId="2" xfId="0" applyFont="1" applyBorder="1" applyProtection="1"/>
    <xf numFmtId="0" fontId="0" fillId="0" borderId="0" xfId="0" applyBorder="1" applyAlignment="1">
      <alignment horizontal="center"/>
    </xf>
    <xf numFmtId="0" fontId="13" fillId="0" borderId="2" xfId="0" applyFont="1" applyBorder="1" applyAlignment="1" applyProtection="1">
      <alignment vertical="top" wrapText="1"/>
    </xf>
    <xf numFmtId="0" fontId="8" fillId="0" borderId="0" xfId="0" applyFont="1" applyBorder="1" applyAlignment="1">
      <alignment horizontal="center" wrapText="1"/>
    </xf>
    <xf numFmtId="0" fontId="2" fillId="0" borderId="0" xfId="0" applyFont="1"/>
    <xf numFmtId="0" fontId="9" fillId="0" borderId="0" xfId="0" applyFont="1" applyBorder="1" applyAlignment="1">
      <alignment horizontal="center" wrapText="1"/>
    </xf>
    <xf numFmtId="2" fontId="0" fillId="0" borderId="0" xfId="0" applyNumberFormat="1" applyBorder="1" applyAlignment="1">
      <alignment horizontal="center"/>
    </xf>
    <xf numFmtId="2" fontId="2" fillId="0" borderId="0" xfId="0" applyNumberFormat="1" applyFont="1"/>
    <xf numFmtId="0" fontId="25" fillId="0" borderId="0" xfId="0" applyFont="1" applyBorder="1" applyAlignment="1">
      <alignment wrapText="1"/>
    </xf>
    <xf numFmtId="0" fontId="7" fillId="0" borderId="0" xfId="0" applyFont="1" applyBorder="1" applyAlignment="1">
      <alignment horizontal="right" vertical="top" wrapText="1"/>
    </xf>
    <xf numFmtId="0" fontId="25" fillId="0" borderId="0" xfId="0" applyFont="1" applyBorder="1" applyAlignment="1">
      <alignment vertical="top" wrapText="1"/>
    </xf>
    <xf numFmtId="0" fontId="9" fillId="0" borderId="0" xfId="0" applyFont="1" applyBorder="1" applyAlignment="1">
      <alignment horizontal="center" vertical="top" wrapText="1"/>
    </xf>
    <xf numFmtId="0" fontId="26" fillId="0" borderId="0" xfId="0" applyFont="1" applyBorder="1" applyAlignment="1">
      <alignment vertical="top" wrapText="1"/>
    </xf>
    <xf numFmtId="0" fontId="7" fillId="2" borderId="0" xfId="0" applyFont="1" applyFill="1" applyBorder="1" applyAlignment="1">
      <alignment horizontal="right" vertical="top" wrapText="1"/>
    </xf>
    <xf numFmtId="0" fontId="25" fillId="2" borderId="0" xfId="0" applyFont="1" applyFill="1" applyBorder="1" applyAlignment="1">
      <alignment vertical="top" wrapText="1"/>
    </xf>
    <xf numFmtId="0" fontId="26" fillId="0" borderId="0" xfId="0" applyFont="1" applyBorder="1" applyAlignment="1">
      <alignment wrapText="1"/>
    </xf>
    <xf numFmtId="0" fontId="25" fillId="3" borderId="0" xfId="0" applyFont="1" applyFill="1" applyBorder="1" applyAlignment="1">
      <alignment vertical="top" wrapText="1"/>
    </xf>
    <xf numFmtId="0" fontId="28" fillId="0" borderId="0" xfId="0" applyFont="1" applyBorder="1" applyAlignment="1">
      <alignment horizontal="center" vertical="top" wrapText="1"/>
    </xf>
    <xf numFmtId="2" fontId="25" fillId="0" borderId="0" xfId="0" applyNumberFormat="1" applyFont="1" applyBorder="1" applyAlignment="1">
      <alignment wrapText="1"/>
    </xf>
    <xf numFmtId="0" fontId="29" fillId="0" borderId="0" xfId="0" applyFont="1" applyBorder="1" applyAlignment="1">
      <alignment vertical="top" wrapText="1"/>
    </xf>
    <xf numFmtId="0" fontId="1" fillId="0" borderId="0" xfId="0" applyFont="1" applyBorder="1"/>
    <xf numFmtId="0" fontId="25" fillId="0" borderId="1" xfId="0" applyFont="1" applyBorder="1" applyAlignment="1">
      <alignment wrapText="1"/>
    </xf>
    <xf numFmtId="0" fontId="13" fillId="0" borderId="2" xfId="0" applyFont="1" applyFill="1" applyBorder="1" applyAlignment="1">
      <alignment vertical="top" wrapText="1"/>
    </xf>
    <xf numFmtId="0" fontId="9" fillId="0" borderId="0" xfId="0" applyFont="1" applyFill="1" applyAlignment="1">
      <alignment vertical="top" wrapText="1"/>
    </xf>
    <xf numFmtId="0" fontId="9" fillId="0" borderId="0" xfId="0" applyFont="1" applyFill="1" applyBorder="1" applyAlignment="1">
      <alignment vertical="top" wrapText="1"/>
    </xf>
    <xf numFmtId="0" fontId="14" fillId="0" borderId="0" xfId="0" applyFont="1" applyFill="1" applyAlignment="1">
      <alignment vertical="top" wrapText="1"/>
    </xf>
    <xf numFmtId="2" fontId="26" fillId="0" borderId="0" xfId="0" applyNumberFormat="1" applyFont="1" applyBorder="1" applyAlignment="1">
      <alignment wrapText="1"/>
    </xf>
    <xf numFmtId="49" fontId="1" fillId="0" borderId="0" xfId="0" applyNumberFormat="1" applyFont="1" applyFill="1" applyBorder="1" applyAlignment="1">
      <alignment wrapText="1"/>
    </xf>
    <xf numFmtId="0" fontId="1" fillId="0" borderId="0" xfId="0" applyFont="1" applyBorder="1" applyAlignment="1">
      <alignment horizontal="left"/>
    </xf>
    <xf numFmtId="0" fontId="1" fillId="0" borderId="0" xfId="0" applyFont="1" applyFill="1" applyBorder="1" applyAlignment="1">
      <alignment horizontal="left"/>
    </xf>
    <xf numFmtId="0" fontId="30" fillId="0" borderId="0" xfId="0" applyFont="1" applyFill="1" applyAlignment="1">
      <alignment vertical="top" wrapText="1"/>
    </xf>
    <xf numFmtId="0" fontId="1" fillId="0" borderId="0" xfId="0" applyFont="1" applyFill="1" applyBorder="1"/>
    <xf numFmtId="49" fontId="1" fillId="0" borderId="0" xfId="0" applyNumberFormat="1" applyFont="1" applyBorder="1" applyAlignment="1">
      <alignment wrapText="1"/>
    </xf>
    <xf numFmtId="49" fontId="1" fillId="0" borderId="3" xfId="0" applyNumberFormat="1" applyFont="1" applyBorder="1" applyAlignment="1">
      <alignment wrapText="1"/>
    </xf>
    <xf numFmtId="0" fontId="31" fillId="0" borderId="3" xfId="0" applyFont="1" applyBorder="1" applyAlignment="1">
      <alignment wrapText="1"/>
    </xf>
    <xf numFmtId="0" fontId="30" fillId="0" borderId="0" xfId="0" applyFont="1" applyBorder="1"/>
    <xf numFmtId="0" fontId="30" fillId="0" borderId="0" xfId="0" applyFont="1"/>
    <xf numFmtId="0" fontId="30" fillId="0" borderId="0" xfId="0" applyFont="1" applyFill="1" applyBorder="1"/>
    <xf numFmtId="49" fontId="34" fillId="0" borderId="0" xfId="0" applyNumberFormat="1" applyFont="1" applyBorder="1" applyAlignment="1">
      <alignment wrapText="1"/>
    </xf>
    <xf numFmtId="0" fontId="30" fillId="0" borderId="0" xfId="0" applyFont="1" applyFill="1"/>
    <xf numFmtId="0" fontId="34" fillId="0" borderId="0" xfId="0" applyFont="1" applyFill="1" applyBorder="1" applyAlignment="1">
      <alignment vertical="top" wrapText="1"/>
    </xf>
    <xf numFmtId="0" fontId="30" fillId="0" borderId="1" xfId="0" applyFont="1" applyFill="1" applyBorder="1"/>
    <xf numFmtId="0" fontId="34" fillId="0" borderId="2" xfId="0" applyFont="1" applyFill="1" applyBorder="1" applyAlignment="1">
      <alignment vertical="top" wrapText="1"/>
    </xf>
    <xf numFmtId="0" fontId="34" fillId="0" borderId="2" xfId="0" applyFont="1" applyBorder="1" applyAlignment="1" applyProtection="1">
      <alignment vertical="top" wrapText="1"/>
    </xf>
    <xf numFmtId="0" fontId="34" fillId="0" borderId="0" xfId="0" applyFont="1" applyBorder="1"/>
    <xf numFmtId="0" fontId="30" fillId="0" borderId="2" xfId="0" applyFont="1" applyBorder="1"/>
    <xf numFmtId="2" fontId="30" fillId="0" borderId="0" xfId="0" applyNumberFormat="1" applyFont="1"/>
    <xf numFmtId="0" fontId="2" fillId="0" borderId="0" xfId="0" applyFont="1" applyBorder="1"/>
    <xf numFmtId="0" fontId="2" fillId="0" borderId="0" xfId="0" applyFont="1" applyBorder="1" applyAlignment="1">
      <alignment wrapText="1"/>
    </xf>
    <xf numFmtId="49" fontId="1" fillId="0" borderId="0" xfId="0" applyNumberFormat="1" applyFont="1" applyBorder="1" applyAlignment="1">
      <alignment horizontal="left" wrapText="1"/>
    </xf>
    <xf numFmtId="0" fontId="1" fillId="0" borderId="0" xfId="0" applyFont="1" applyFill="1" applyBorder="1" applyAlignment="1">
      <alignment horizontal="left" vertical="top" wrapText="1"/>
    </xf>
    <xf numFmtId="0" fontId="2" fillId="0" borderId="0" xfId="0" applyFont="1" applyFill="1" applyBorder="1"/>
    <xf numFmtId="0" fontId="1" fillId="0" borderId="0" xfId="0" applyFont="1" applyFill="1" applyBorder="1" applyAlignment="1">
      <alignment vertical="top" wrapText="1"/>
    </xf>
    <xf numFmtId="0" fontId="2" fillId="0" borderId="1" xfId="0" applyFont="1" applyBorder="1"/>
    <xf numFmtId="0" fontId="1" fillId="0" borderId="1" xfId="0" applyFont="1" applyFill="1" applyBorder="1" applyAlignment="1">
      <alignment horizontal="left" vertical="top" wrapText="1"/>
    </xf>
    <xf numFmtId="0" fontId="2" fillId="0" borderId="1" xfId="0" applyFont="1" applyFill="1" applyBorder="1"/>
    <xf numFmtId="0" fontId="2" fillId="0" borderId="0" xfId="0" applyFont="1" applyFill="1" applyBorder="1" applyAlignment="1">
      <alignment vertical="top" wrapText="1"/>
    </xf>
    <xf numFmtId="0" fontId="1" fillId="0" borderId="2" xfId="0" applyFont="1" applyFill="1" applyBorder="1" applyAlignment="1">
      <alignment vertical="top" wrapText="1"/>
    </xf>
    <xf numFmtId="0" fontId="1" fillId="0" borderId="2" xfId="0" applyFont="1" applyBorder="1"/>
    <xf numFmtId="0" fontId="1" fillId="0" borderId="2" xfId="0" applyFont="1" applyFill="1" applyBorder="1" applyAlignment="1">
      <alignment horizontal="left" vertical="top" wrapText="1"/>
    </xf>
    <xf numFmtId="0" fontId="2" fillId="0" borderId="0" xfId="0" applyFont="1" applyFill="1" applyAlignment="1">
      <alignment vertical="top" wrapText="1"/>
    </xf>
    <xf numFmtId="0" fontId="2" fillId="0" borderId="0" xfId="0" applyFont="1" applyFill="1" applyBorder="1" applyAlignment="1"/>
    <xf numFmtId="0" fontId="1" fillId="0" borderId="2" xfId="0" applyFont="1" applyBorder="1" applyProtection="1"/>
    <xf numFmtId="0" fontId="1" fillId="0" borderId="2" xfId="0" applyFont="1" applyBorder="1" applyAlignment="1" applyProtection="1">
      <alignment horizontal="left" vertical="top" wrapText="1"/>
    </xf>
    <xf numFmtId="0" fontId="1" fillId="0" borderId="2" xfId="0" applyFont="1" applyBorder="1" applyAlignment="1" applyProtection="1">
      <alignment vertical="top" wrapText="1"/>
    </xf>
    <xf numFmtId="0" fontId="2" fillId="0" borderId="2" xfId="0" applyFont="1" applyBorder="1"/>
    <xf numFmtId="0" fontId="2" fillId="0" borderId="2" xfId="0" applyFont="1" applyFill="1" applyBorder="1"/>
    <xf numFmtId="0" fontId="2" fillId="0" borderId="0" xfId="0" applyFont="1" applyBorder="1" applyAlignment="1">
      <alignment horizontal="left"/>
    </xf>
    <xf numFmtId="2" fontId="2" fillId="0" borderId="0" xfId="0" applyNumberFormat="1" applyFont="1" applyBorder="1" applyAlignment="1">
      <alignment horizontal="center" wrapText="1"/>
    </xf>
    <xf numFmtId="2" fontId="2" fillId="0" borderId="0" xfId="0" applyNumberFormat="1" applyFont="1" applyBorder="1"/>
    <xf numFmtId="0" fontId="2" fillId="0" borderId="0" xfId="0" applyFont="1" applyBorder="1" applyAlignment="1">
      <alignment horizontal="center"/>
    </xf>
    <xf numFmtId="2" fontId="2" fillId="0" borderId="0" xfId="0" applyNumberFormat="1" applyFont="1" applyBorder="1" applyAlignment="1">
      <alignment horizontal="center"/>
    </xf>
    <xf numFmtId="0" fontId="2" fillId="0" borderId="1" xfId="0" applyFont="1" applyFill="1" applyBorder="1" applyAlignment="1">
      <alignment vertical="top" wrapText="1"/>
    </xf>
    <xf numFmtId="0" fontId="13" fillId="0" borderId="0" xfId="0" applyFont="1" applyFill="1" applyBorder="1" applyAlignment="1">
      <alignment vertical="top" wrapText="1"/>
    </xf>
    <xf numFmtId="0" fontId="17" fillId="0" borderId="0" xfId="0" applyFont="1" applyFill="1" applyBorder="1" applyAlignment="1">
      <alignment vertical="top" wrapText="1"/>
    </xf>
    <xf numFmtId="0" fontId="14" fillId="0" borderId="0" xfId="0" applyFont="1" applyFill="1" applyBorder="1" applyAlignment="1">
      <alignment vertical="top" wrapText="1"/>
    </xf>
    <xf numFmtId="0" fontId="2" fillId="0" borderId="0" xfId="0" applyFont="1" applyFill="1" applyAlignment="1">
      <alignment horizontal="right"/>
    </xf>
    <xf numFmtId="0" fontId="9" fillId="0" borderId="1" xfId="0" applyFont="1" applyFill="1" applyBorder="1" applyAlignment="1">
      <alignment vertical="top" wrapText="1"/>
    </xf>
    <xf numFmtId="0" fontId="30" fillId="0" borderId="0" xfId="0" applyFont="1" applyFill="1" applyBorder="1" applyAlignment="1">
      <alignment vertical="top" wrapText="1"/>
    </xf>
    <xf numFmtId="0" fontId="7" fillId="0" borderId="4" xfId="0" applyFont="1" applyBorder="1" applyAlignment="1">
      <alignment vertical="top" wrapText="1"/>
    </xf>
    <xf numFmtId="0" fontId="21" fillId="0" borderId="5" xfId="0" applyFont="1" applyBorder="1" applyAlignment="1">
      <alignmen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ublished="0"/>
  <dimension ref="A1:CE226"/>
  <sheetViews>
    <sheetView tabSelected="1" topLeftCell="C1" zoomScale="115" workbookViewId="0">
      <pane ySplit="2" topLeftCell="A171" activePane="bottomLeft" state="frozenSplit"/>
      <selection pane="bottomLeft" activeCell="M181" sqref="M181"/>
    </sheetView>
  </sheetViews>
  <sheetFormatPr baseColWidth="10" defaultColWidth="10.6640625" defaultRowHeight="13"/>
  <cols>
    <col min="1" max="1" width="4.6640625" style="115" customWidth="1"/>
    <col min="2" max="2" width="10.6640625" style="96"/>
    <col min="3" max="3" width="5.6640625" style="115" customWidth="1"/>
    <col min="4" max="4" width="7" style="115" customWidth="1"/>
    <col min="5" max="5" width="5.5" style="115" customWidth="1"/>
    <col min="6" max="6" width="5.6640625" style="104" customWidth="1"/>
    <col min="7" max="8" width="6.5" style="115" customWidth="1"/>
    <col min="9" max="9" width="8.5" style="115" customWidth="1"/>
    <col min="10" max="10" width="61.83203125" style="7" customWidth="1"/>
    <col min="11" max="11" width="33.1640625" style="12" customWidth="1"/>
    <col min="12" max="12" width="39.83203125" style="2" customWidth="1"/>
    <col min="13" max="13" width="45.83203125" style="16" customWidth="1"/>
    <col min="14" max="16384" width="10.6640625" style="1"/>
  </cols>
  <sheetData>
    <row r="1" spans="1:13">
      <c r="D1" s="115" t="s">
        <v>332</v>
      </c>
      <c r="E1" s="35"/>
      <c r="H1" s="116"/>
    </row>
    <row r="2" spans="1:13" s="27" customFormat="1" ht="26" customHeight="1">
      <c r="A2" s="100" t="s">
        <v>536</v>
      </c>
      <c r="B2" s="117"/>
      <c r="C2" s="100" t="s">
        <v>490</v>
      </c>
      <c r="D2" s="100" t="s">
        <v>567</v>
      </c>
      <c r="E2" s="100" t="s">
        <v>491</v>
      </c>
      <c r="F2" s="106" t="s">
        <v>530</v>
      </c>
      <c r="G2" s="95" t="s">
        <v>393</v>
      </c>
      <c r="H2" s="95" t="s">
        <v>563</v>
      </c>
      <c r="I2" s="95" t="s">
        <v>537</v>
      </c>
      <c r="J2" s="28" t="s">
        <v>398</v>
      </c>
      <c r="K2" s="29" t="s">
        <v>350</v>
      </c>
      <c r="L2" s="27" t="s">
        <v>369</v>
      </c>
      <c r="M2" s="101" t="s">
        <v>538</v>
      </c>
    </row>
    <row r="3" spans="1:13" ht="28">
      <c r="A3" s="115">
        <v>1</v>
      </c>
      <c r="B3" s="118">
        <v>1970</v>
      </c>
      <c r="C3" s="124"/>
      <c r="D3" s="124">
        <v>1</v>
      </c>
      <c r="E3" s="124"/>
      <c r="F3" s="107"/>
      <c r="G3" s="119"/>
      <c r="H3" s="119">
        <v>2</v>
      </c>
      <c r="I3" s="119" t="s">
        <v>506</v>
      </c>
      <c r="J3" s="21" t="s">
        <v>419</v>
      </c>
      <c r="K3" s="38" t="s">
        <v>410</v>
      </c>
      <c r="L3" s="39"/>
      <c r="M3" s="52"/>
    </row>
    <row r="4" spans="1:13" s="23" customFormat="1" ht="14">
      <c r="A4" s="115"/>
      <c r="B4" s="118" t="s">
        <v>411</v>
      </c>
      <c r="C4" s="120">
        <f>SUM(C3)</f>
        <v>0</v>
      </c>
      <c r="D4" s="120">
        <f t="shared" ref="D4:F4" si="0">SUM(D3)</f>
        <v>1</v>
      </c>
      <c r="E4" s="120">
        <f>SUM(E3)</f>
        <v>0</v>
      </c>
      <c r="F4" s="108">
        <f t="shared" si="0"/>
        <v>0</v>
      </c>
      <c r="G4" s="120">
        <f>SUM(C4:F4)</f>
        <v>1</v>
      </c>
      <c r="H4" s="120"/>
      <c r="I4" s="120"/>
      <c r="J4" s="19"/>
      <c r="K4" s="38"/>
      <c r="L4" s="39"/>
      <c r="M4" s="52"/>
    </row>
    <row r="5" spans="1:13" s="3" customFormat="1" ht="28">
      <c r="A5" s="121">
        <v>2</v>
      </c>
      <c r="B5" s="122">
        <v>1971</v>
      </c>
      <c r="C5" s="140">
        <v>1</v>
      </c>
      <c r="D5" s="140"/>
      <c r="E5" s="140"/>
      <c r="F5" s="109"/>
      <c r="G5" s="123"/>
      <c r="H5" s="123">
        <v>5</v>
      </c>
      <c r="I5" s="123" t="s">
        <v>509</v>
      </c>
      <c r="J5" s="20" t="s">
        <v>420</v>
      </c>
      <c r="K5" s="40" t="s">
        <v>379</v>
      </c>
      <c r="L5" s="41"/>
      <c r="M5" s="53"/>
    </row>
    <row r="6" spans="1:13" ht="28">
      <c r="A6" s="115">
        <v>3</v>
      </c>
      <c r="B6" s="118"/>
      <c r="C6" s="124"/>
      <c r="D6" s="124">
        <v>1</v>
      </c>
      <c r="E6" s="124"/>
      <c r="F6" s="107"/>
      <c r="G6" s="124"/>
      <c r="H6" s="124">
        <v>2</v>
      </c>
      <c r="I6" s="124" t="s">
        <v>506</v>
      </c>
      <c r="J6" s="21" t="s">
        <v>421</v>
      </c>
      <c r="K6" s="38" t="s">
        <v>380</v>
      </c>
      <c r="L6" s="39"/>
      <c r="M6" s="52"/>
    </row>
    <row r="7" spans="1:13" s="23" customFormat="1" ht="14">
      <c r="A7" s="115"/>
      <c r="B7" s="118" t="s">
        <v>392</v>
      </c>
      <c r="C7" s="120">
        <f>SUM(C5:C6)</f>
        <v>1</v>
      </c>
      <c r="D7" s="120">
        <f t="shared" ref="D7:F7" si="1">SUM(D5:D6)</f>
        <v>1</v>
      </c>
      <c r="E7" s="120">
        <f>SUM(E5:E6)</f>
        <v>0</v>
      </c>
      <c r="F7" s="108">
        <f t="shared" si="1"/>
        <v>0</v>
      </c>
      <c r="G7" s="125">
        <f>SUM(C7:F7)</f>
        <v>2</v>
      </c>
      <c r="H7" s="120"/>
      <c r="I7" s="120"/>
      <c r="J7" s="19"/>
      <c r="K7" s="38"/>
      <c r="L7" s="39"/>
      <c r="M7" s="52"/>
    </row>
    <row r="8" spans="1:13" s="3" customFormat="1" ht="14">
      <c r="A8" s="121"/>
      <c r="B8" s="122">
        <v>1972</v>
      </c>
      <c r="C8" s="140"/>
      <c r="D8" s="140"/>
      <c r="E8" s="140"/>
      <c r="F8" s="109"/>
      <c r="G8" s="140"/>
      <c r="H8" s="140"/>
      <c r="I8" s="140"/>
      <c r="J8" s="20" t="s">
        <v>359</v>
      </c>
      <c r="K8" s="40"/>
      <c r="L8" s="41" t="s">
        <v>360</v>
      </c>
      <c r="M8" s="53"/>
    </row>
    <row r="9" spans="1:13" s="22" customFormat="1" ht="14">
      <c r="A9" s="126"/>
      <c r="B9" s="127" t="s">
        <v>392</v>
      </c>
      <c r="C9" s="125">
        <f>SUM(C8)</f>
        <v>0</v>
      </c>
      <c r="D9" s="125">
        <f t="shared" ref="D9:F9" si="2">SUM(D8)</f>
        <v>0</v>
      </c>
      <c r="E9" s="125">
        <f>SUM(E8)</f>
        <v>0</v>
      </c>
      <c r="F9" s="110">
        <f t="shared" si="2"/>
        <v>0</v>
      </c>
      <c r="G9" s="125">
        <f>SUM(C9:F9)</f>
        <v>0</v>
      </c>
      <c r="H9" s="125"/>
      <c r="I9" s="125"/>
      <c r="J9" s="24"/>
      <c r="K9" s="42"/>
      <c r="L9" s="43"/>
      <c r="M9" s="54"/>
    </row>
    <row r="10" spans="1:13" s="3" customFormat="1" ht="28">
      <c r="A10" s="121">
        <v>4</v>
      </c>
      <c r="B10" s="122">
        <v>1973</v>
      </c>
      <c r="C10" s="140">
        <v>1</v>
      </c>
      <c r="D10" s="140"/>
      <c r="E10" s="140"/>
      <c r="F10" s="109"/>
      <c r="G10" s="123"/>
      <c r="H10" s="123">
        <v>1</v>
      </c>
      <c r="I10" s="123" t="s">
        <v>521</v>
      </c>
      <c r="J10" s="20" t="s">
        <v>422</v>
      </c>
      <c r="K10" s="40">
        <v>2015</v>
      </c>
      <c r="L10" s="41"/>
      <c r="M10" s="53"/>
    </row>
    <row r="11" spans="1:13" ht="28">
      <c r="A11" s="115">
        <v>5</v>
      </c>
      <c r="B11" s="118"/>
      <c r="C11" s="124"/>
      <c r="D11" s="124">
        <v>1</v>
      </c>
      <c r="E11" s="124"/>
      <c r="F11" s="107"/>
      <c r="G11" s="124"/>
      <c r="H11" s="124">
        <v>234</v>
      </c>
      <c r="I11" s="124" t="s">
        <v>510</v>
      </c>
      <c r="J11" s="21" t="s">
        <v>540</v>
      </c>
      <c r="K11" s="38">
        <v>1978</v>
      </c>
      <c r="L11" s="39"/>
      <c r="M11" s="52"/>
    </row>
    <row r="12" spans="1:13" s="26" customFormat="1" ht="14">
      <c r="A12" s="88"/>
      <c r="B12" s="118" t="s">
        <v>392</v>
      </c>
      <c r="C12" s="120">
        <f>SUM(C10:C11)</f>
        <v>1</v>
      </c>
      <c r="D12" s="120">
        <f>SUM(D10:D11)</f>
        <v>1</v>
      </c>
      <c r="E12" s="120">
        <f>SUM(E10:E11)</f>
        <v>0</v>
      </c>
      <c r="F12" s="108">
        <f>SUM(F10:F11)</f>
        <v>0</v>
      </c>
      <c r="G12" s="125">
        <f>SUM(C12:E12)</f>
        <v>2</v>
      </c>
      <c r="H12" s="120"/>
      <c r="I12" s="120"/>
      <c r="J12" s="25"/>
      <c r="K12" s="44"/>
      <c r="L12" s="45"/>
      <c r="M12" s="55"/>
    </row>
    <row r="13" spans="1:13" s="3" customFormat="1" ht="28">
      <c r="A13" s="121">
        <v>6</v>
      </c>
      <c r="B13" s="122">
        <v>1974</v>
      </c>
      <c r="C13" s="140"/>
      <c r="D13" s="140"/>
      <c r="E13" s="140"/>
      <c r="F13" s="109">
        <v>1</v>
      </c>
      <c r="G13" s="123"/>
      <c r="H13" s="123">
        <v>1</v>
      </c>
      <c r="I13" s="123" t="s">
        <v>506</v>
      </c>
      <c r="J13" s="20" t="s">
        <v>541</v>
      </c>
      <c r="K13" s="40" t="s">
        <v>381</v>
      </c>
      <c r="L13" s="41"/>
      <c r="M13" s="53"/>
    </row>
    <row r="14" spans="1:13" ht="28">
      <c r="A14" s="119">
        <v>7</v>
      </c>
      <c r="B14" s="118"/>
      <c r="C14" s="124"/>
      <c r="D14" s="124">
        <v>1</v>
      </c>
      <c r="E14" s="124"/>
      <c r="F14" s="107"/>
      <c r="G14" s="128"/>
      <c r="H14" s="128">
        <v>2</v>
      </c>
      <c r="I14" s="128" t="s">
        <v>506</v>
      </c>
      <c r="J14" s="21" t="s">
        <v>542</v>
      </c>
      <c r="K14" s="38">
        <v>2015</v>
      </c>
      <c r="L14" s="39"/>
      <c r="M14" s="52"/>
    </row>
    <row r="15" spans="1:13" ht="14">
      <c r="A15" s="119">
        <v>8</v>
      </c>
      <c r="B15" s="118"/>
      <c r="C15" s="124">
        <v>1</v>
      </c>
      <c r="D15" s="124"/>
      <c r="E15" s="124"/>
      <c r="F15" s="107"/>
      <c r="G15" s="128"/>
      <c r="H15" s="128">
        <v>5</v>
      </c>
      <c r="I15" s="128" t="s">
        <v>509</v>
      </c>
      <c r="J15" s="21" t="s">
        <v>356</v>
      </c>
      <c r="K15" s="46" t="s">
        <v>381</v>
      </c>
      <c r="L15" s="39"/>
      <c r="M15" s="52"/>
    </row>
    <row r="16" spans="1:13" ht="28">
      <c r="A16" s="119">
        <v>9</v>
      </c>
      <c r="B16" s="118"/>
      <c r="C16" s="124"/>
      <c r="D16" s="124">
        <v>1</v>
      </c>
      <c r="E16" s="124"/>
      <c r="F16" s="107"/>
      <c r="G16" s="124"/>
      <c r="H16" s="124">
        <v>12</v>
      </c>
      <c r="I16" s="124" t="s">
        <v>506</v>
      </c>
      <c r="J16" s="21" t="s">
        <v>357</v>
      </c>
      <c r="K16" s="38" t="s">
        <v>382</v>
      </c>
      <c r="L16" s="39"/>
      <c r="M16" s="52"/>
    </row>
    <row r="17" spans="1:13" s="26" customFormat="1" ht="14">
      <c r="A17" s="88"/>
      <c r="B17" s="118" t="s">
        <v>392</v>
      </c>
      <c r="C17" s="120">
        <f>SUM(C13:C16)</f>
        <v>1</v>
      </c>
      <c r="D17" s="120">
        <f t="shared" ref="D17:F17" si="3">SUM(D13:D16)</f>
        <v>2</v>
      </c>
      <c r="E17" s="120">
        <f>SUM(E13:E16)</f>
        <v>0</v>
      </c>
      <c r="F17" s="108">
        <f t="shared" si="3"/>
        <v>1</v>
      </c>
      <c r="G17" s="125">
        <f>SUM(C17:F17)</f>
        <v>4</v>
      </c>
      <c r="H17" s="120"/>
      <c r="I17" s="120"/>
      <c r="J17" s="25"/>
      <c r="K17" s="44"/>
      <c r="L17" s="45"/>
      <c r="M17" s="55"/>
    </row>
    <row r="18" spans="1:13" s="3" customFormat="1" ht="42">
      <c r="A18" s="121">
        <v>10</v>
      </c>
      <c r="B18" s="122">
        <v>1975</v>
      </c>
      <c r="C18" s="140"/>
      <c r="D18" s="140">
        <v>1</v>
      </c>
      <c r="E18" s="140"/>
      <c r="F18" s="109"/>
      <c r="G18" s="123"/>
      <c r="H18" s="123">
        <v>12</v>
      </c>
      <c r="I18" s="123" t="s">
        <v>506</v>
      </c>
      <c r="J18" s="20" t="s">
        <v>416</v>
      </c>
      <c r="K18" s="47" t="s">
        <v>383</v>
      </c>
      <c r="L18" s="41" t="s">
        <v>361</v>
      </c>
      <c r="M18" s="53"/>
    </row>
    <row r="19" spans="1:13" ht="28">
      <c r="A19" s="119">
        <v>11</v>
      </c>
      <c r="B19" s="118"/>
      <c r="C19" s="124">
        <v>1</v>
      </c>
      <c r="D19" s="124"/>
      <c r="E19" s="124"/>
      <c r="F19" s="107"/>
      <c r="G19" s="128"/>
      <c r="H19" s="128">
        <v>5</v>
      </c>
      <c r="I19" s="128" t="s">
        <v>507</v>
      </c>
      <c r="J19" s="21" t="s">
        <v>417</v>
      </c>
      <c r="K19" s="46" t="s">
        <v>384</v>
      </c>
      <c r="L19" s="39" t="s">
        <v>362</v>
      </c>
      <c r="M19" s="52"/>
    </row>
    <row r="20" spans="1:13" ht="70">
      <c r="A20" s="119">
        <v>12</v>
      </c>
      <c r="B20" s="118"/>
      <c r="C20" s="124">
        <v>1</v>
      </c>
      <c r="D20" s="124"/>
      <c r="E20" s="124"/>
      <c r="F20" s="107"/>
      <c r="G20" s="124"/>
      <c r="H20" s="124">
        <v>5</v>
      </c>
      <c r="I20" s="124" t="s">
        <v>509</v>
      </c>
      <c r="J20" s="21" t="s">
        <v>413</v>
      </c>
      <c r="K20" s="46" t="s">
        <v>385</v>
      </c>
      <c r="L20" s="39"/>
      <c r="M20" s="52"/>
    </row>
    <row r="21" spans="1:13" s="26" customFormat="1" ht="14">
      <c r="A21" s="88"/>
      <c r="B21" s="118" t="s">
        <v>392</v>
      </c>
      <c r="C21" s="120">
        <f>SUM(C18:C20)</f>
        <v>2</v>
      </c>
      <c r="D21" s="120">
        <f>SUM(D18:D20)</f>
        <v>1</v>
      </c>
      <c r="E21" s="120">
        <f>SUM(E18:E20)</f>
        <v>0</v>
      </c>
      <c r="F21" s="108">
        <f>SUM(F18:F20)</f>
        <v>0</v>
      </c>
      <c r="G21" s="120">
        <f>SUM(C21:F21)</f>
        <v>3</v>
      </c>
      <c r="H21" s="120"/>
      <c r="I21" s="120"/>
      <c r="J21" s="25"/>
      <c r="K21" s="48"/>
      <c r="L21" s="45"/>
      <c r="M21" s="55"/>
    </row>
    <row r="22" spans="1:13" s="3" customFormat="1" ht="28">
      <c r="A22" s="121"/>
      <c r="B22" s="122">
        <v>1976</v>
      </c>
      <c r="C22" s="140"/>
      <c r="D22" s="140"/>
      <c r="E22" s="140"/>
      <c r="F22" s="109"/>
      <c r="G22" s="140"/>
      <c r="H22" s="140"/>
      <c r="I22" s="140"/>
      <c r="J22" s="20" t="s">
        <v>334</v>
      </c>
      <c r="K22" s="40"/>
      <c r="L22" s="41" t="s">
        <v>363</v>
      </c>
      <c r="M22" s="53"/>
    </row>
    <row r="23" spans="1:13" s="22" customFormat="1" ht="14">
      <c r="A23" s="126"/>
      <c r="B23" s="127" t="s">
        <v>392</v>
      </c>
      <c r="C23" s="125">
        <f>SUM(C22)</f>
        <v>0</v>
      </c>
      <c r="D23" s="125">
        <f>SUM(D22)</f>
        <v>0</v>
      </c>
      <c r="E23" s="125">
        <f>SUM(E22)</f>
        <v>0</v>
      </c>
      <c r="F23" s="110">
        <f>SUM(F22)</f>
        <v>0</v>
      </c>
      <c r="G23" s="125">
        <f>SUM(C23:F23)</f>
        <v>0</v>
      </c>
      <c r="H23" s="125"/>
      <c r="I23" s="125"/>
      <c r="J23" s="24"/>
      <c r="K23" s="42"/>
      <c r="L23" s="43"/>
      <c r="M23" s="54"/>
    </row>
    <row r="24" spans="1:13" s="3" customFormat="1" ht="28">
      <c r="A24" s="121">
        <v>13</v>
      </c>
      <c r="B24" s="122">
        <v>1977</v>
      </c>
      <c r="C24" s="140"/>
      <c r="D24" s="140">
        <v>1</v>
      </c>
      <c r="E24" s="140"/>
      <c r="F24" s="109"/>
      <c r="G24" s="140"/>
      <c r="H24" s="140">
        <v>1</v>
      </c>
      <c r="I24" s="140" t="s">
        <v>509</v>
      </c>
      <c r="J24" s="20" t="s">
        <v>566</v>
      </c>
      <c r="K24" s="47" t="s">
        <v>386</v>
      </c>
      <c r="L24" s="41"/>
      <c r="M24" s="53"/>
    </row>
    <row r="25" spans="1:13" ht="28">
      <c r="A25" s="115">
        <v>14</v>
      </c>
      <c r="B25" s="118"/>
      <c r="C25" s="124"/>
      <c r="D25" s="124">
        <v>1</v>
      </c>
      <c r="E25" s="124"/>
      <c r="F25" s="107"/>
      <c r="G25" s="124"/>
      <c r="H25" s="124">
        <v>234</v>
      </c>
      <c r="I25" s="124" t="s">
        <v>507</v>
      </c>
      <c r="J25" s="21" t="s">
        <v>355</v>
      </c>
      <c r="K25" s="46" t="s">
        <v>387</v>
      </c>
      <c r="L25" s="39"/>
      <c r="M25" s="52"/>
    </row>
    <row r="26" spans="1:13" s="26" customFormat="1" ht="14">
      <c r="A26" s="88"/>
      <c r="B26" s="118" t="s">
        <v>392</v>
      </c>
      <c r="C26" s="120">
        <f>SUM(C24:C25)</f>
        <v>0</v>
      </c>
      <c r="D26" s="120">
        <f>SUM(D24:D25)</f>
        <v>2</v>
      </c>
      <c r="E26" s="120">
        <f>SUM(E24:E25)</f>
        <v>0</v>
      </c>
      <c r="F26" s="108">
        <f>SUM(F24:F25)</f>
        <v>0</v>
      </c>
      <c r="G26" s="125">
        <f>SUM(C26:E26)</f>
        <v>2</v>
      </c>
      <c r="H26" s="120"/>
      <c r="I26" s="120"/>
      <c r="J26" s="25"/>
      <c r="K26" s="48"/>
      <c r="L26" s="45"/>
      <c r="M26" s="55"/>
    </row>
    <row r="27" spans="1:13" s="3" customFormat="1" ht="56">
      <c r="A27" s="121">
        <v>15</v>
      </c>
      <c r="B27" s="122">
        <v>1978</v>
      </c>
      <c r="C27" s="140"/>
      <c r="D27" s="140">
        <v>1</v>
      </c>
      <c r="E27" s="140"/>
      <c r="F27" s="109"/>
      <c r="G27" s="140"/>
      <c r="H27" s="140">
        <v>2</v>
      </c>
      <c r="I27" s="140" t="s">
        <v>506</v>
      </c>
      <c r="J27" s="20" t="s">
        <v>285</v>
      </c>
      <c r="K27" s="40">
        <v>2015</v>
      </c>
      <c r="L27" s="41" t="s">
        <v>364</v>
      </c>
      <c r="M27" s="53"/>
    </row>
    <row r="28" spans="1:13" s="22" customFormat="1" ht="14">
      <c r="A28" s="126"/>
      <c r="B28" s="127" t="s">
        <v>392</v>
      </c>
      <c r="C28" s="125">
        <f>SUM(C27)</f>
        <v>0</v>
      </c>
      <c r="D28" s="125">
        <f>SUM(D27)</f>
        <v>1</v>
      </c>
      <c r="E28" s="125">
        <f>SUM(E27)</f>
        <v>0</v>
      </c>
      <c r="F28" s="110">
        <f>SUM(F27)</f>
        <v>0</v>
      </c>
      <c r="G28" s="125">
        <f>SUM(C28:E28)</f>
        <v>1</v>
      </c>
      <c r="H28" s="125"/>
      <c r="I28" s="125"/>
      <c r="J28" s="24"/>
      <c r="K28" s="42"/>
      <c r="L28" s="43"/>
      <c r="M28" s="54"/>
    </row>
    <row r="29" spans="1:13" s="3" customFormat="1" ht="28">
      <c r="A29" s="121">
        <v>16</v>
      </c>
      <c r="B29" s="122">
        <v>1979</v>
      </c>
      <c r="C29" s="140">
        <v>1</v>
      </c>
      <c r="D29" s="140"/>
      <c r="E29" s="140"/>
      <c r="F29" s="109"/>
      <c r="G29" s="140"/>
      <c r="H29" s="140">
        <v>5</v>
      </c>
      <c r="I29" s="140" t="s">
        <v>509</v>
      </c>
      <c r="J29" s="20" t="s">
        <v>396</v>
      </c>
      <c r="K29" s="47" t="s">
        <v>388</v>
      </c>
      <c r="L29" s="41"/>
      <c r="M29" s="53"/>
    </row>
    <row r="30" spans="1:13" ht="42">
      <c r="A30" s="99">
        <v>17</v>
      </c>
      <c r="B30" s="118"/>
      <c r="C30" s="124"/>
      <c r="D30" s="124"/>
      <c r="E30" s="124">
        <v>1</v>
      </c>
      <c r="F30" s="107"/>
      <c r="G30" s="128"/>
      <c r="H30" s="128">
        <v>1</v>
      </c>
      <c r="I30" s="128" t="s">
        <v>506</v>
      </c>
      <c r="J30" s="21" t="s">
        <v>426</v>
      </c>
      <c r="K30" s="38">
        <v>1980</v>
      </c>
      <c r="L30" s="39"/>
      <c r="M30" s="52"/>
    </row>
    <row r="31" spans="1:13" ht="42">
      <c r="A31" s="119">
        <v>18</v>
      </c>
      <c r="B31" s="118"/>
      <c r="C31" s="124"/>
      <c r="D31" s="124">
        <v>1</v>
      </c>
      <c r="E31" s="124"/>
      <c r="F31" s="107"/>
      <c r="G31" s="124"/>
      <c r="H31" s="124">
        <v>1</v>
      </c>
      <c r="I31" s="124" t="s">
        <v>508</v>
      </c>
      <c r="J31" s="21" t="s">
        <v>547</v>
      </c>
      <c r="K31" s="46" t="s">
        <v>389</v>
      </c>
      <c r="L31" s="39"/>
      <c r="M31" s="52"/>
    </row>
    <row r="32" spans="1:13" s="26" customFormat="1" ht="14">
      <c r="A32" s="88"/>
      <c r="B32" s="118" t="s">
        <v>392</v>
      </c>
      <c r="C32" s="120">
        <f>SUM(C29:C31)</f>
        <v>1</v>
      </c>
      <c r="D32" s="120">
        <f>SUM(D29:D31)</f>
        <v>1</v>
      </c>
      <c r="E32" s="120">
        <f>SUM(E29:E31)</f>
        <v>1</v>
      </c>
      <c r="F32" s="108">
        <f>SUM(F29:F31)</f>
        <v>0</v>
      </c>
      <c r="G32" s="125">
        <f>SUM(C32:F32)</f>
        <v>3</v>
      </c>
      <c r="H32" s="120"/>
      <c r="I32" s="120"/>
      <c r="J32" s="25"/>
      <c r="K32" s="48"/>
      <c r="L32" s="45"/>
      <c r="M32" s="55"/>
    </row>
    <row r="33" spans="1:13" s="3" customFormat="1" ht="28">
      <c r="A33" s="121">
        <v>19</v>
      </c>
      <c r="B33" s="122">
        <v>1980</v>
      </c>
      <c r="C33" s="140"/>
      <c r="D33" s="140">
        <v>1</v>
      </c>
      <c r="E33" s="140"/>
      <c r="F33" s="109"/>
      <c r="G33" s="140"/>
      <c r="H33" s="140">
        <v>12</v>
      </c>
      <c r="I33" s="140" t="s">
        <v>509</v>
      </c>
      <c r="J33" s="20" t="s">
        <v>546</v>
      </c>
      <c r="K33" s="47" t="s">
        <v>381</v>
      </c>
      <c r="L33" s="41" t="s">
        <v>326</v>
      </c>
      <c r="M33" s="53"/>
    </row>
    <row r="34" spans="1:13" ht="28">
      <c r="A34" s="99">
        <v>20</v>
      </c>
      <c r="B34" s="118"/>
      <c r="C34" s="124"/>
      <c r="D34" s="124">
        <v>1</v>
      </c>
      <c r="E34" s="124"/>
      <c r="F34" s="107"/>
      <c r="G34" s="128"/>
      <c r="H34" s="128">
        <v>2</v>
      </c>
      <c r="I34" s="128" t="s">
        <v>507</v>
      </c>
      <c r="J34" s="9" t="s">
        <v>425</v>
      </c>
      <c r="K34" s="46" t="s">
        <v>381</v>
      </c>
      <c r="L34" s="39"/>
      <c r="M34" s="52"/>
    </row>
    <row r="35" spans="1:13" ht="84">
      <c r="A35" s="119">
        <v>21</v>
      </c>
      <c r="B35" s="118"/>
      <c r="C35" s="124"/>
      <c r="D35" s="124"/>
      <c r="E35" s="124">
        <v>1</v>
      </c>
      <c r="F35" s="107"/>
      <c r="G35" s="124"/>
      <c r="H35" s="124">
        <v>2</v>
      </c>
      <c r="I35" s="124" t="s">
        <v>521</v>
      </c>
      <c r="J35" s="21" t="s">
        <v>436</v>
      </c>
      <c r="K35" s="46" t="s">
        <v>327</v>
      </c>
      <c r="L35" s="39"/>
      <c r="M35" s="52"/>
    </row>
    <row r="36" spans="1:13" s="26" customFormat="1" ht="14">
      <c r="A36" s="88"/>
      <c r="B36" s="118" t="s">
        <v>392</v>
      </c>
      <c r="C36" s="120">
        <f>SUM(C33:C35)</f>
        <v>0</v>
      </c>
      <c r="D36" s="120">
        <f>SUM(D33:D35)</f>
        <v>2</v>
      </c>
      <c r="E36" s="120">
        <f>SUM(E33:E35)</f>
        <v>1</v>
      </c>
      <c r="F36" s="108">
        <f>SUM(F33:F35)</f>
        <v>0</v>
      </c>
      <c r="G36" s="125">
        <f>SUM(C36:F36)</f>
        <v>3</v>
      </c>
      <c r="H36" s="120"/>
      <c r="I36" s="120"/>
      <c r="J36" s="25"/>
      <c r="K36" s="48"/>
      <c r="L36" s="45"/>
      <c r="M36" s="55"/>
    </row>
    <row r="37" spans="1:13" s="3" customFormat="1" ht="14">
      <c r="A37" s="121"/>
      <c r="B37" s="122">
        <v>1981</v>
      </c>
      <c r="C37" s="140"/>
      <c r="D37" s="140"/>
      <c r="E37" s="140"/>
      <c r="F37" s="109"/>
      <c r="G37" s="140"/>
      <c r="H37" s="140"/>
      <c r="I37" s="140"/>
      <c r="J37" s="20" t="s">
        <v>335</v>
      </c>
      <c r="K37" s="40"/>
      <c r="L37" s="41" t="s">
        <v>365</v>
      </c>
      <c r="M37" s="53"/>
    </row>
    <row r="38" spans="1:13" s="22" customFormat="1" ht="14">
      <c r="A38" s="126"/>
      <c r="B38" s="127" t="s">
        <v>392</v>
      </c>
      <c r="C38" s="125">
        <f>SUM(C37)</f>
        <v>0</v>
      </c>
      <c r="D38" s="125">
        <f>SUM(D37)</f>
        <v>0</v>
      </c>
      <c r="E38" s="125">
        <f>SUM(E37)</f>
        <v>0</v>
      </c>
      <c r="F38" s="110">
        <f>SUM(F37)</f>
        <v>0</v>
      </c>
      <c r="G38" s="125">
        <f>SUM(C38:F38)</f>
        <v>0</v>
      </c>
      <c r="H38" s="125"/>
      <c r="I38" s="125"/>
      <c r="J38" s="24"/>
      <c r="K38" s="42"/>
      <c r="L38" s="43"/>
      <c r="M38" s="54"/>
    </row>
    <row r="39" spans="1:13" s="3" customFormat="1" ht="56">
      <c r="A39" s="121">
        <v>22</v>
      </c>
      <c r="B39" s="122">
        <v>1982</v>
      </c>
      <c r="C39" s="140"/>
      <c r="D39" s="140">
        <v>1</v>
      </c>
      <c r="E39" s="140"/>
      <c r="F39" s="109"/>
      <c r="G39" s="140"/>
      <c r="H39" s="140">
        <v>3</v>
      </c>
      <c r="I39" s="140" t="s">
        <v>506</v>
      </c>
      <c r="J39" s="20" t="s">
        <v>423</v>
      </c>
      <c r="K39" s="47">
        <v>2015</v>
      </c>
      <c r="L39" s="41"/>
      <c r="M39" s="53"/>
    </row>
    <row r="40" spans="1:13" ht="28">
      <c r="A40" s="115">
        <v>23</v>
      </c>
      <c r="B40" s="118"/>
      <c r="C40" s="124"/>
      <c r="D40" s="124">
        <v>1</v>
      </c>
      <c r="E40" s="124"/>
      <c r="F40" s="107"/>
      <c r="G40" s="124"/>
      <c r="H40" s="124">
        <v>12</v>
      </c>
      <c r="I40" s="124" t="s">
        <v>506</v>
      </c>
      <c r="J40" s="21" t="s">
        <v>424</v>
      </c>
      <c r="K40" s="38">
        <v>2015</v>
      </c>
      <c r="L40" s="39"/>
      <c r="M40" s="52"/>
    </row>
    <row r="41" spans="1:13" s="22" customFormat="1" ht="14">
      <c r="A41" s="126"/>
      <c r="B41" s="127" t="s">
        <v>394</v>
      </c>
      <c r="C41" s="125">
        <f>SUM(C39:C40)</f>
        <v>0</v>
      </c>
      <c r="D41" s="125">
        <f>SUM(D39:D40)</f>
        <v>2</v>
      </c>
      <c r="E41" s="125">
        <f>SUM(E39:E40)</f>
        <v>0</v>
      </c>
      <c r="F41" s="110">
        <f>SUM(F39:F40)</f>
        <v>0</v>
      </c>
      <c r="G41" s="125">
        <f>SUM(C41:F41)</f>
        <v>2</v>
      </c>
      <c r="H41" s="125"/>
      <c r="I41" s="125"/>
      <c r="J41" s="24"/>
      <c r="K41" s="42"/>
      <c r="L41" s="43"/>
      <c r="M41" s="54"/>
    </row>
    <row r="42" spans="1:13" ht="42">
      <c r="A42" s="115">
        <v>24</v>
      </c>
      <c r="B42" s="118">
        <v>1983</v>
      </c>
      <c r="C42" s="124"/>
      <c r="D42" s="124">
        <v>1</v>
      </c>
      <c r="E42" s="124"/>
      <c r="F42" s="107"/>
      <c r="G42" s="124"/>
      <c r="H42" s="124">
        <v>2</v>
      </c>
      <c r="I42" s="124" t="s">
        <v>517</v>
      </c>
      <c r="J42" s="21" t="s">
        <v>390</v>
      </c>
      <c r="K42" s="46" t="s">
        <v>328</v>
      </c>
      <c r="L42" s="39"/>
      <c r="M42" s="52"/>
    </row>
    <row r="43" spans="1:13" ht="42">
      <c r="A43" s="119">
        <v>25</v>
      </c>
      <c r="B43" s="118"/>
      <c r="C43" s="124">
        <v>1</v>
      </c>
      <c r="D43" s="124"/>
      <c r="E43" s="124"/>
      <c r="F43" s="107"/>
      <c r="G43" s="128"/>
      <c r="H43" s="128">
        <v>2</v>
      </c>
      <c r="I43" s="124" t="s">
        <v>509</v>
      </c>
      <c r="J43" s="21" t="s">
        <v>428</v>
      </c>
      <c r="K43" s="38">
        <v>2015</v>
      </c>
      <c r="L43" s="39"/>
      <c r="M43" s="52"/>
    </row>
    <row r="44" spans="1:13" ht="28">
      <c r="A44" s="119">
        <v>26</v>
      </c>
      <c r="B44" s="118"/>
      <c r="C44" s="124"/>
      <c r="D44" s="124">
        <v>1</v>
      </c>
      <c r="E44" s="124"/>
      <c r="F44" s="107"/>
      <c r="G44" s="124"/>
      <c r="H44" s="124">
        <v>12</v>
      </c>
      <c r="I44" s="124" t="s">
        <v>518</v>
      </c>
      <c r="J44" s="21" t="s">
        <v>429</v>
      </c>
      <c r="K44" s="38" t="s">
        <v>381</v>
      </c>
      <c r="L44" s="39"/>
      <c r="M44" s="52"/>
    </row>
    <row r="45" spans="1:13" s="22" customFormat="1" ht="14">
      <c r="A45" s="126"/>
      <c r="B45" s="127" t="s">
        <v>394</v>
      </c>
      <c r="C45" s="125">
        <f>SUM(C42:C44)</f>
        <v>1</v>
      </c>
      <c r="D45" s="125">
        <f>SUM(D42:D44)</f>
        <v>2</v>
      </c>
      <c r="E45" s="125">
        <f>SUM(E42:E44)</f>
        <v>0</v>
      </c>
      <c r="F45" s="110">
        <f>SUM(F42:F44)</f>
        <v>0</v>
      </c>
      <c r="G45" s="125">
        <f>SUM(C45:F45)</f>
        <v>3</v>
      </c>
      <c r="H45" s="125"/>
      <c r="I45" s="125"/>
      <c r="J45" s="24"/>
      <c r="K45" s="42"/>
      <c r="L45" s="43"/>
      <c r="M45" s="54"/>
    </row>
    <row r="46" spans="1:13" ht="28">
      <c r="A46" s="119">
        <v>27</v>
      </c>
      <c r="B46" s="118">
        <v>1984</v>
      </c>
      <c r="C46" s="124"/>
      <c r="D46" s="124">
        <v>1</v>
      </c>
      <c r="E46" s="124"/>
      <c r="F46" s="107"/>
      <c r="G46" s="124"/>
      <c r="H46" s="124">
        <v>234</v>
      </c>
      <c r="I46" s="124" t="s">
        <v>518</v>
      </c>
      <c r="J46" s="21" t="s">
        <v>430</v>
      </c>
      <c r="K46" s="38">
        <v>1987</v>
      </c>
      <c r="L46" s="39" t="s">
        <v>366</v>
      </c>
      <c r="M46" s="52"/>
    </row>
    <row r="47" spans="1:13" ht="56">
      <c r="A47" s="119">
        <v>28</v>
      </c>
      <c r="B47" s="118"/>
      <c r="C47" s="124"/>
      <c r="D47" s="124">
        <v>1</v>
      </c>
      <c r="E47" s="124"/>
      <c r="F47" s="107"/>
      <c r="G47" s="124"/>
      <c r="H47" s="124">
        <v>234</v>
      </c>
      <c r="I47" s="124" t="s">
        <v>510</v>
      </c>
      <c r="J47" s="21" t="s">
        <v>414</v>
      </c>
      <c r="K47" s="38">
        <v>1985</v>
      </c>
      <c r="L47" s="39" t="s">
        <v>367</v>
      </c>
      <c r="M47" s="52"/>
    </row>
    <row r="48" spans="1:13" s="22" customFormat="1" ht="14">
      <c r="A48" s="126"/>
      <c r="B48" s="127" t="s">
        <v>394</v>
      </c>
      <c r="C48" s="125">
        <f>SUM(C46:C47)</f>
        <v>0</v>
      </c>
      <c r="D48" s="125">
        <f>SUM(D46:D47)</f>
        <v>2</v>
      </c>
      <c r="E48" s="125">
        <f>SUM(E46:E47)</f>
        <v>0</v>
      </c>
      <c r="F48" s="110">
        <f>SUM(F46:F47)</f>
        <v>0</v>
      </c>
      <c r="G48" s="125">
        <f>SUM(C48:F48)</f>
        <v>2</v>
      </c>
      <c r="H48" s="125"/>
      <c r="I48" s="125"/>
      <c r="J48" s="24"/>
      <c r="K48" s="42"/>
      <c r="L48" s="43"/>
      <c r="M48" s="54"/>
    </row>
    <row r="49" spans="1:13" ht="42">
      <c r="A49" s="119">
        <v>29</v>
      </c>
      <c r="B49" s="118">
        <v>1985</v>
      </c>
      <c r="C49" s="124"/>
      <c r="D49" s="124">
        <v>1</v>
      </c>
      <c r="E49" s="124"/>
      <c r="F49" s="107"/>
      <c r="G49" s="124"/>
      <c r="H49" s="124">
        <v>2</v>
      </c>
      <c r="I49" s="124" t="s">
        <v>507</v>
      </c>
      <c r="J49" s="21" t="s">
        <v>415</v>
      </c>
      <c r="K49" s="46" t="s">
        <v>381</v>
      </c>
      <c r="L49" s="39"/>
      <c r="M49" s="52"/>
    </row>
    <row r="50" spans="1:13" ht="28">
      <c r="A50" s="115">
        <v>30</v>
      </c>
      <c r="B50" s="118"/>
      <c r="C50" s="124"/>
      <c r="D50" s="124">
        <v>1</v>
      </c>
      <c r="E50" s="124"/>
      <c r="F50" s="107"/>
      <c r="G50" s="124"/>
      <c r="H50" s="124">
        <v>25</v>
      </c>
      <c r="I50" s="124" t="s">
        <v>506</v>
      </c>
      <c r="J50" s="21" t="s">
        <v>433</v>
      </c>
      <c r="K50" s="38" t="s">
        <v>329</v>
      </c>
      <c r="L50" s="39"/>
      <c r="M50" s="52"/>
    </row>
    <row r="51" spans="1:13" s="22" customFormat="1" ht="14">
      <c r="A51" s="126"/>
      <c r="B51" s="127" t="s">
        <v>391</v>
      </c>
      <c r="C51" s="125">
        <f>SUM(C49:C50)</f>
        <v>0</v>
      </c>
      <c r="D51" s="125">
        <f>SUM(D49:D50)</f>
        <v>2</v>
      </c>
      <c r="E51" s="125">
        <f>SUM(E49:E50)</f>
        <v>0</v>
      </c>
      <c r="F51" s="110">
        <f>SUM(F49:F50)</f>
        <v>0</v>
      </c>
      <c r="G51" s="125">
        <f>SUM(C51:F51)</f>
        <v>2</v>
      </c>
      <c r="H51" s="125"/>
      <c r="I51" s="125"/>
      <c r="J51" s="24"/>
      <c r="K51" s="42"/>
      <c r="L51" s="43"/>
      <c r="M51" s="54"/>
    </row>
    <row r="52" spans="1:13" ht="90">
      <c r="A52" s="115">
        <v>31</v>
      </c>
      <c r="B52" s="118">
        <v>1986</v>
      </c>
      <c r="C52" s="124"/>
      <c r="D52" s="124">
        <v>1</v>
      </c>
      <c r="E52" s="124"/>
      <c r="F52" s="107"/>
      <c r="G52" s="124"/>
      <c r="H52" s="124">
        <v>4</v>
      </c>
      <c r="I52" s="124" t="s">
        <v>519</v>
      </c>
      <c r="J52" s="21" t="s">
        <v>443</v>
      </c>
      <c r="K52" s="38">
        <v>2015</v>
      </c>
      <c r="L52" s="39" t="s">
        <v>330</v>
      </c>
      <c r="M52" s="52"/>
    </row>
    <row r="53" spans="1:13" s="22" customFormat="1" ht="14">
      <c r="A53" s="126"/>
      <c r="B53" s="127" t="s">
        <v>394</v>
      </c>
      <c r="C53" s="125">
        <f>SUM(C52)</f>
        <v>0</v>
      </c>
      <c r="D53" s="125">
        <f>SUM(D52)</f>
        <v>1</v>
      </c>
      <c r="E53" s="125">
        <f>SUM(E52)</f>
        <v>0</v>
      </c>
      <c r="F53" s="110">
        <f>SUM(F52)</f>
        <v>0</v>
      </c>
      <c r="G53" s="125">
        <f>SUM(C53:F53)</f>
        <v>1</v>
      </c>
      <c r="H53" s="125"/>
      <c r="I53" s="125"/>
      <c r="J53" s="24"/>
      <c r="K53" s="42"/>
      <c r="L53" s="51" t="s">
        <v>368</v>
      </c>
      <c r="M53" s="54"/>
    </row>
    <row r="54" spans="1:13" ht="14">
      <c r="A54" s="115">
        <v>32</v>
      </c>
      <c r="B54" s="118">
        <v>1987</v>
      </c>
      <c r="C54" s="124">
        <v>1</v>
      </c>
      <c r="D54" s="124"/>
      <c r="E54" s="124"/>
      <c r="F54" s="107"/>
      <c r="G54" s="124"/>
      <c r="H54" s="124">
        <v>5</v>
      </c>
      <c r="I54" s="124" t="s">
        <v>509</v>
      </c>
      <c r="J54" s="21" t="s">
        <v>444</v>
      </c>
      <c r="K54" s="38" t="s">
        <v>331</v>
      </c>
      <c r="L54" s="39"/>
      <c r="M54" s="52"/>
    </row>
    <row r="55" spans="1:13" ht="70">
      <c r="A55" s="115">
        <v>33</v>
      </c>
      <c r="B55" s="118"/>
      <c r="C55" s="124"/>
      <c r="D55" s="124">
        <v>1</v>
      </c>
      <c r="E55" s="124"/>
      <c r="F55" s="107"/>
      <c r="G55" s="128"/>
      <c r="H55" s="128">
        <v>1</v>
      </c>
      <c r="I55" s="128" t="s">
        <v>519</v>
      </c>
      <c r="J55" s="21" t="s">
        <v>427</v>
      </c>
      <c r="K55" s="38">
        <v>1988</v>
      </c>
      <c r="L55" s="39"/>
      <c r="M55" s="52"/>
    </row>
    <row r="56" spans="1:13" ht="98">
      <c r="A56" s="115">
        <v>34</v>
      </c>
      <c r="B56" s="118"/>
      <c r="C56" s="124"/>
      <c r="D56" s="124">
        <v>1</v>
      </c>
      <c r="E56" s="124"/>
      <c r="F56" s="107"/>
      <c r="G56" s="128"/>
      <c r="H56" s="128">
        <v>234</v>
      </c>
      <c r="I56" s="128" t="s">
        <v>518</v>
      </c>
      <c r="J56" s="21" t="s">
        <v>548</v>
      </c>
      <c r="K56" s="38">
        <v>1988</v>
      </c>
      <c r="L56" s="39"/>
      <c r="M56" s="52"/>
    </row>
    <row r="57" spans="1:13" ht="42">
      <c r="A57" s="115">
        <v>35</v>
      </c>
      <c r="B57" s="118"/>
      <c r="C57" s="124">
        <v>1</v>
      </c>
      <c r="D57" s="124"/>
      <c r="E57" s="124"/>
      <c r="F57" s="107"/>
      <c r="G57" s="124"/>
      <c r="H57" s="124">
        <v>5</v>
      </c>
      <c r="I57" s="124" t="s">
        <v>507</v>
      </c>
      <c r="J57" s="21" t="s">
        <v>497</v>
      </c>
      <c r="K57" s="38">
        <v>2015</v>
      </c>
      <c r="L57" s="39"/>
      <c r="M57" s="52"/>
    </row>
    <row r="58" spans="1:13" s="22" customFormat="1" ht="14">
      <c r="A58" s="126"/>
      <c r="B58" s="127" t="s">
        <v>394</v>
      </c>
      <c r="C58" s="125">
        <f>SUM(C54:C57)</f>
        <v>2</v>
      </c>
      <c r="D58" s="125">
        <f>SUM(D54:D57)</f>
        <v>2</v>
      </c>
      <c r="E58" s="125">
        <f>SUM(E54:E57)</f>
        <v>0</v>
      </c>
      <c r="F58" s="110">
        <f>SUM(F54:F57)</f>
        <v>0</v>
      </c>
      <c r="G58" s="125">
        <f>SUM(C58:F58)</f>
        <v>4</v>
      </c>
      <c r="H58" s="125"/>
      <c r="I58" s="125"/>
      <c r="J58" s="24"/>
      <c r="K58" s="42"/>
      <c r="L58" s="43"/>
      <c r="M58" s="54"/>
    </row>
    <row r="59" spans="1:13" ht="98">
      <c r="A59" s="115">
        <v>36</v>
      </c>
      <c r="B59" s="118">
        <v>1988</v>
      </c>
      <c r="C59" s="124">
        <v>1</v>
      </c>
      <c r="D59" s="124"/>
      <c r="E59" s="124"/>
      <c r="F59" s="107"/>
      <c r="G59" s="124"/>
      <c r="H59" s="124">
        <v>5</v>
      </c>
      <c r="I59" s="124" t="s">
        <v>535</v>
      </c>
      <c r="J59" s="21" t="s">
        <v>437</v>
      </c>
      <c r="K59" s="38" t="s">
        <v>333</v>
      </c>
      <c r="L59" s="39"/>
      <c r="M59" s="17" t="s">
        <v>315</v>
      </c>
    </row>
    <row r="60" spans="1:13" ht="28">
      <c r="A60" s="115">
        <v>37</v>
      </c>
      <c r="B60" s="118"/>
      <c r="C60" s="124"/>
      <c r="D60" s="124">
        <v>1</v>
      </c>
      <c r="E60" s="124"/>
      <c r="F60" s="107"/>
      <c r="G60" s="128"/>
      <c r="H60" s="128">
        <v>1</v>
      </c>
      <c r="I60" s="128" t="s">
        <v>506</v>
      </c>
      <c r="J60" s="21" t="s">
        <v>438</v>
      </c>
      <c r="K60" s="38">
        <v>2015</v>
      </c>
      <c r="L60" s="39"/>
      <c r="M60" s="52"/>
    </row>
    <row r="61" spans="1:13" ht="28">
      <c r="A61" s="115">
        <v>38</v>
      </c>
      <c r="B61" s="118"/>
      <c r="C61" s="124"/>
      <c r="D61" s="124"/>
      <c r="E61" s="124"/>
      <c r="F61" s="107">
        <v>1</v>
      </c>
      <c r="G61" s="128"/>
      <c r="H61" s="128">
        <v>1</v>
      </c>
      <c r="I61" s="128" t="s">
        <v>506</v>
      </c>
      <c r="J61" s="21" t="s">
        <v>549</v>
      </c>
      <c r="K61" s="38" t="s">
        <v>381</v>
      </c>
      <c r="L61" s="39"/>
      <c r="M61" s="52"/>
    </row>
    <row r="62" spans="1:13" ht="54" customHeight="1">
      <c r="A62" s="115">
        <v>39</v>
      </c>
      <c r="B62" s="118"/>
      <c r="C62" s="124">
        <v>1</v>
      </c>
      <c r="D62" s="124"/>
      <c r="E62" s="124"/>
      <c r="F62" s="107"/>
      <c r="G62" s="128"/>
      <c r="H62" s="128">
        <v>2</v>
      </c>
      <c r="I62" s="128" t="s">
        <v>509</v>
      </c>
      <c r="J62" s="21" t="s">
        <v>504</v>
      </c>
      <c r="K62" s="38">
        <v>2015</v>
      </c>
      <c r="L62" s="39"/>
      <c r="M62" s="52"/>
    </row>
    <row r="63" spans="1:13" ht="56">
      <c r="A63" s="115">
        <v>40</v>
      </c>
      <c r="B63" s="118"/>
      <c r="C63" s="124"/>
      <c r="D63" s="124">
        <v>1</v>
      </c>
      <c r="E63" s="124"/>
      <c r="F63" s="107"/>
      <c r="G63" s="128"/>
      <c r="H63" s="128">
        <v>12</v>
      </c>
      <c r="I63" s="128" t="s">
        <v>506</v>
      </c>
      <c r="J63" s="21" t="s">
        <v>448</v>
      </c>
      <c r="K63" s="38">
        <v>2015</v>
      </c>
      <c r="L63" s="39"/>
      <c r="M63" s="52"/>
    </row>
    <row r="64" spans="1:13" ht="42">
      <c r="A64" s="115">
        <v>41</v>
      </c>
      <c r="B64" s="118"/>
      <c r="C64" s="124"/>
      <c r="D64" s="124"/>
      <c r="E64" s="124">
        <v>1</v>
      </c>
      <c r="F64" s="107"/>
      <c r="G64" s="124"/>
      <c r="H64" s="124">
        <v>1</v>
      </c>
      <c r="I64" s="124" t="s">
        <v>509</v>
      </c>
      <c r="J64" s="21" t="s">
        <v>432</v>
      </c>
      <c r="K64" s="38">
        <v>1989</v>
      </c>
      <c r="L64" s="39"/>
      <c r="M64" s="52"/>
    </row>
    <row r="65" spans="1:13" s="22" customFormat="1" ht="14">
      <c r="A65" s="126"/>
      <c r="B65" s="127" t="s">
        <v>418</v>
      </c>
      <c r="C65" s="125">
        <f>SUM(C59:C64)</f>
        <v>2</v>
      </c>
      <c r="D65" s="125">
        <f>SUM(D59:D64)</f>
        <v>2</v>
      </c>
      <c r="E65" s="125">
        <f>SUM(E59:E64)</f>
        <v>1</v>
      </c>
      <c r="F65" s="110">
        <f>SUM(F59:F64)</f>
        <v>1</v>
      </c>
      <c r="G65" s="125">
        <f>SUM(C65:F65)</f>
        <v>6</v>
      </c>
      <c r="H65" s="125"/>
      <c r="I65" s="125"/>
      <c r="J65" s="24"/>
      <c r="K65" s="42"/>
      <c r="L65" s="43"/>
      <c r="M65" s="54"/>
    </row>
    <row r="66" spans="1:13" ht="28">
      <c r="A66" s="115">
        <v>42</v>
      </c>
      <c r="B66" s="118">
        <v>1989</v>
      </c>
      <c r="C66" s="124"/>
      <c r="D66" s="124">
        <v>1</v>
      </c>
      <c r="E66" s="124"/>
      <c r="F66" s="107"/>
      <c r="G66" s="124"/>
      <c r="H66" s="124">
        <v>12</v>
      </c>
      <c r="I66" s="124" t="s">
        <v>506</v>
      </c>
      <c r="J66" s="21" t="s">
        <v>434</v>
      </c>
      <c r="K66" s="38">
        <v>2015</v>
      </c>
      <c r="L66" s="39" t="s">
        <v>353</v>
      </c>
      <c r="M66" s="52"/>
    </row>
    <row r="67" spans="1:13" ht="56">
      <c r="A67" s="115">
        <v>43</v>
      </c>
      <c r="B67" s="118"/>
      <c r="C67" s="124"/>
      <c r="D67" s="124">
        <v>1</v>
      </c>
      <c r="E67" s="124"/>
      <c r="F67" s="107"/>
      <c r="G67" s="128"/>
      <c r="H67" s="128">
        <v>234</v>
      </c>
      <c r="I67" s="128" t="s">
        <v>519</v>
      </c>
      <c r="J67" s="21" t="s">
        <v>314</v>
      </c>
      <c r="K67" s="38">
        <v>1991</v>
      </c>
      <c r="L67" s="39" t="s">
        <v>354</v>
      </c>
      <c r="M67" s="52"/>
    </row>
    <row r="68" spans="1:13" ht="70">
      <c r="A68" s="115">
        <v>44</v>
      </c>
      <c r="B68" s="118"/>
      <c r="C68" s="124"/>
      <c r="D68" s="124">
        <v>1</v>
      </c>
      <c r="E68" s="124"/>
      <c r="F68" s="107"/>
      <c r="G68" s="124"/>
      <c r="H68" s="124">
        <v>1</v>
      </c>
      <c r="I68" s="124" t="s">
        <v>506</v>
      </c>
      <c r="J68" s="21" t="s">
        <v>446</v>
      </c>
      <c r="K68" s="38">
        <v>2015</v>
      </c>
      <c r="L68" s="39"/>
      <c r="M68" s="52"/>
    </row>
    <row r="69" spans="1:13" s="22" customFormat="1" ht="14">
      <c r="A69" s="126"/>
      <c r="B69" s="127" t="s">
        <v>394</v>
      </c>
      <c r="C69" s="125">
        <f>SUM(C66:C68)</f>
        <v>0</v>
      </c>
      <c r="D69" s="125">
        <f>SUM(D66:D68)</f>
        <v>3</v>
      </c>
      <c r="E69" s="125">
        <f>SUM(E66:E68)</f>
        <v>0</v>
      </c>
      <c r="F69" s="110">
        <f>SUM(F66:F68)</f>
        <v>0</v>
      </c>
      <c r="G69" s="125">
        <f>SUM(C69:F69)</f>
        <v>3</v>
      </c>
      <c r="H69" s="125"/>
      <c r="I69" s="125"/>
      <c r="J69" s="24"/>
      <c r="K69" s="42"/>
      <c r="L69" s="43"/>
      <c r="M69" s="54"/>
    </row>
    <row r="70" spans="1:13" ht="42">
      <c r="B70" s="118">
        <v>1990</v>
      </c>
      <c r="C70" s="124"/>
      <c r="D70" s="124"/>
      <c r="E70" s="124"/>
      <c r="F70" s="107"/>
      <c r="G70" s="124"/>
      <c r="H70" s="124"/>
      <c r="I70" s="124"/>
      <c r="J70" s="11" t="s">
        <v>334</v>
      </c>
      <c r="K70" s="38"/>
      <c r="L70" s="39" t="s">
        <v>316</v>
      </c>
      <c r="M70" s="17" t="s">
        <v>397</v>
      </c>
    </row>
    <row r="71" spans="1:13" s="22" customFormat="1" ht="31" customHeight="1">
      <c r="A71" s="126"/>
      <c r="B71" s="127" t="s">
        <v>394</v>
      </c>
      <c r="C71" s="125">
        <f>SUM(C70)</f>
        <v>0</v>
      </c>
      <c r="D71" s="125">
        <f>SUM(D70)</f>
        <v>0</v>
      </c>
      <c r="E71" s="125">
        <f>SUM(E70)</f>
        <v>0</v>
      </c>
      <c r="F71" s="110">
        <f>SUM(F70)</f>
        <v>0</v>
      </c>
      <c r="G71" s="125">
        <f>SUM(C71:F71)</f>
        <v>0</v>
      </c>
      <c r="H71" s="125"/>
      <c r="I71" s="125"/>
      <c r="J71" s="34"/>
      <c r="K71" s="42"/>
      <c r="L71" s="51" t="s">
        <v>317</v>
      </c>
      <c r="M71" s="60" t="s">
        <v>319</v>
      </c>
    </row>
    <row r="72" spans="1:13" ht="14">
      <c r="A72" s="115">
        <v>45</v>
      </c>
      <c r="B72" s="118">
        <v>1991</v>
      </c>
      <c r="C72" s="124">
        <v>1</v>
      </c>
      <c r="D72" s="124"/>
      <c r="E72" s="124"/>
      <c r="F72" s="107"/>
      <c r="G72" s="124"/>
      <c r="H72" s="124">
        <v>5</v>
      </c>
      <c r="I72" s="124" t="s">
        <v>509</v>
      </c>
      <c r="J72" s="36" t="s">
        <v>447</v>
      </c>
      <c r="K72" s="38">
        <v>1992</v>
      </c>
      <c r="L72" s="39" t="s">
        <v>345</v>
      </c>
      <c r="M72" s="52"/>
    </row>
    <row r="73" spans="1:13" ht="28">
      <c r="A73" s="115">
        <v>46</v>
      </c>
      <c r="B73" s="118"/>
      <c r="C73" s="124"/>
      <c r="D73" s="124">
        <v>1</v>
      </c>
      <c r="E73" s="124"/>
      <c r="F73" s="107"/>
      <c r="G73" s="124"/>
      <c r="H73" s="124">
        <v>1</v>
      </c>
      <c r="I73" s="124" t="s">
        <v>509</v>
      </c>
      <c r="J73" s="37" t="s">
        <v>505</v>
      </c>
      <c r="K73" s="38" t="s">
        <v>376</v>
      </c>
      <c r="L73" s="39"/>
      <c r="M73" s="52"/>
    </row>
    <row r="74" spans="1:13" s="22" customFormat="1" ht="14">
      <c r="A74" s="126"/>
      <c r="B74" s="127" t="s">
        <v>394</v>
      </c>
      <c r="C74" s="125">
        <f>SUM(C72:C73)</f>
        <v>1</v>
      </c>
      <c r="D74" s="125">
        <f>SUM(D72:D73)</f>
        <v>1</v>
      </c>
      <c r="E74" s="125">
        <f>SUM(E72:E73)</f>
        <v>0</v>
      </c>
      <c r="F74" s="110">
        <f>SUM(F72:F73)</f>
        <v>0</v>
      </c>
      <c r="G74" s="125">
        <f>SUM(C74:F74)</f>
        <v>2</v>
      </c>
      <c r="H74" s="125"/>
      <c r="I74" s="125"/>
      <c r="J74" s="33"/>
      <c r="K74" s="42"/>
      <c r="L74" s="43"/>
      <c r="M74" s="54"/>
    </row>
    <row r="75" spans="1:13" ht="42">
      <c r="A75" s="115">
        <v>47</v>
      </c>
      <c r="B75" s="118">
        <v>1992</v>
      </c>
      <c r="C75" s="124"/>
      <c r="D75" s="124">
        <v>1</v>
      </c>
      <c r="E75" s="124"/>
      <c r="F75" s="107"/>
      <c r="G75" s="124"/>
      <c r="H75" s="124">
        <v>2</v>
      </c>
      <c r="I75" s="124" t="s">
        <v>519</v>
      </c>
      <c r="J75" s="21" t="s">
        <v>431</v>
      </c>
      <c r="K75" s="46" t="s">
        <v>381</v>
      </c>
      <c r="L75" s="39" t="s">
        <v>340</v>
      </c>
      <c r="M75" s="56"/>
    </row>
    <row r="76" spans="1:13" ht="28">
      <c r="A76" s="115">
        <v>48</v>
      </c>
      <c r="B76" s="118"/>
      <c r="C76" s="124"/>
      <c r="D76" s="124"/>
      <c r="E76" s="124">
        <v>1</v>
      </c>
      <c r="F76" s="107"/>
      <c r="G76" s="128"/>
      <c r="H76" s="128">
        <v>125</v>
      </c>
      <c r="I76" s="128" t="s">
        <v>522</v>
      </c>
      <c r="J76" s="8" t="s">
        <v>347</v>
      </c>
      <c r="K76" s="49">
        <v>2015</v>
      </c>
      <c r="L76" s="39" t="s">
        <v>346</v>
      </c>
      <c r="M76" s="52"/>
    </row>
    <row r="77" spans="1:13" ht="30" customHeight="1">
      <c r="A77" s="115">
        <v>49</v>
      </c>
      <c r="B77" s="118"/>
      <c r="C77" s="124"/>
      <c r="D77" s="124">
        <v>1</v>
      </c>
      <c r="E77" s="124"/>
      <c r="F77" s="107"/>
      <c r="G77" s="128"/>
      <c r="H77" s="128">
        <v>3</v>
      </c>
      <c r="I77" s="128" t="s">
        <v>506</v>
      </c>
      <c r="J77" s="21" t="s">
        <v>498</v>
      </c>
      <c r="K77" s="38" t="s">
        <v>348</v>
      </c>
      <c r="L77" s="39"/>
      <c r="M77" s="52"/>
    </row>
    <row r="78" spans="1:13" ht="59">
      <c r="A78" s="115">
        <v>50</v>
      </c>
      <c r="B78" s="118"/>
      <c r="C78" s="124"/>
      <c r="D78" s="124">
        <v>1</v>
      </c>
      <c r="E78" s="124"/>
      <c r="F78" s="107"/>
      <c r="G78" s="128"/>
      <c r="H78" s="128">
        <v>1</v>
      </c>
      <c r="I78" s="128" t="s">
        <v>509</v>
      </c>
      <c r="J78" s="21" t="s">
        <v>475</v>
      </c>
      <c r="K78" s="38">
        <v>2015</v>
      </c>
      <c r="L78" s="39"/>
      <c r="M78" s="52"/>
    </row>
    <row r="79" spans="1:13" ht="56">
      <c r="A79" s="115">
        <v>51</v>
      </c>
      <c r="B79" s="118"/>
      <c r="C79" s="124">
        <v>1</v>
      </c>
      <c r="D79" s="124"/>
      <c r="E79" s="124"/>
      <c r="F79" s="107"/>
      <c r="G79" s="128"/>
      <c r="H79" s="128">
        <v>2</v>
      </c>
      <c r="I79" s="128" t="s">
        <v>509</v>
      </c>
      <c r="J79" s="21" t="s">
        <v>445</v>
      </c>
      <c r="K79" s="38">
        <v>2015</v>
      </c>
      <c r="L79" s="39"/>
      <c r="M79" s="52"/>
    </row>
    <row r="80" spans="1:13" ht="70">
      <c r="A80" s="115">
        <v>52</v>
      </c>
      <c r="B80" s="118"/>
      <c r="C80" s="124"/>
      <c r="D80" s="124">
        <v>1</v>
      </c>
      <c r="E80" s="124"/>
      <c r="F80" s="107"/>
      <c r="G80" s="124"/>
      <c r="H80" s="124">
        <v>3</v>
      </c>
      <c r="I80" s="124" t="s">
        <v>506</v>
      </c>
      <c r="J80" s="21" t="s">
        <v>456</v>
      </c>
      <c r="K80" s="38" t="s">
        <v>349</v>
      </c>
      <c r="L80" s="39"/>
      <c r="M80" s="52"/>
    </row>
    <row r="81" spans="1:13" s="22" customFormat="1" ht="14">
      <c r="A81" s="126"/>
      <c r="B81" s="127" t="s">
        <v>394</v>
      </c>
      <c r="C81" s="125">
        <f>SUM(C75:C80)</f>
        <v>1</v>
      </c>
      <c r="D81" s="125">
        <f>SUM(D75:D80)</f>
        <v>4</v>
      </c>
      <c r="E81" s="125">
        <f>SUM(E75:E80)</f>
        <v>1</v>
      </c>
      <c r="F81" s="110">
        <f>SUM(F75:F80)</f>
        <v>0</v>
      </c>
      <c r="G81" s="125">
        <f>SUM(C81:F81)</f>
        <v>6</v>
      </c>
      <c r="H81" s="125"/>
      <c r="I81" s="125"/>
      <c r="J81" s="24"/>
      <c r="K81" s="42"/>
      <c r="L81" s="43"/>
      <c r="M81" s="54"/>
    </row>
    <row r="82" spans="1:13" ht="28">
      <c r="A82" s="115">
        <v>53</v>
      </c>
      <c r="B82" s="118">
        <v>1993</v>
      </c>
      <c r="C82" s="124"/>
      <c r="D82" s="124">
        <v>1</v>
      </c>
      <c r="E82" s="124"/>
      <c r="F82" s="107"/>
      <c r="G82" s="124"/>
      <c r="H82" s="124">
        <v>25</v>
      </c>
      <c r="I82" s="124" t="s">
        <v>506</v>
      </c>
      <c r="J82" s="21" t="s">
        <v>457</v>
      </c>
      <c r="K82" s="38" t="s">
        <v>377</v>
      </c>
      <c r="L82" s="39" t="s">
        <v>351</v>
      </c>
      <c r="M82" s="52"/>
    </row>
    <row r="83" spans="1:13" ht="28">
      <c r="A83" s="115">
        <v>54</v>
      </c>
      <c r="B83" s="118"/>
      <c r="C83" s="124"/>
      <c r="D83" s="124">
        <v>1</v>
      </c>
      <c r="E83" s="124"/>
      <c r="F83" s="107"/>
      <c r="G83" s="128"/>
      <c r="H83" s="128">
        <v>3</v>
      </c>
      <c r="I83" s="128" t="s">
        <v>506</v>
      </c>
      <c r="J83" s="21" t="s">
        <v>286</v>
      </c>
      <c r="K83" s="38" t="s">
        <v>381</v>
      </c>
      <c r="L83" s="63" t="s">
        <v>352</v>
      </c>
      <c r="M83" s="52"/>
    </row>
    <row r="84" spans="1:13" ht="14">
      <c r="A84" s="115">
        <v>55</v>
      </c>
      <c r="B84" s="97"/>
      <c r="C84" s="124"/>
      <c r="D84" s="124">
        <v>1</v>
      </c>
      <c r="E84" s="124"/>
      <c r="F84" s="107"/>
      <c r="G84" s="124"/>
      <c r="H84" s="124">
        <v>234</v>
      </c>
      <c r="I84" s="124" t="s">
        <v>518</v>
      </c>
      <c r="J84" s="21" t="s">
        <v>454</v>
      </c>
      <c r="K84" s="38">
        <v>1994</v>
      </c>
      <c r="L84" s="39"/>
      <c r="M84" s="52"/>
    </row>
    <row r="85" spans="1:13" s="22" customFormat="1" ht="14">
      <c r="A85" s="126"/>
      <c r="B85" s="127" t="s">
        <v>394</v>
      </c>
      <c r="C85" s="125">
        <f>SUM(C82:C84)</f>
        <v>0</v>
      </c>
      <c r="D85" s="125">
        <f>SUM(D82:D84)</f>
        <v>3</v>
      </c>
      <c r="E85" s="125">
        <f>SUM(E82:E84)</f>
        <v>0</v>
      </c>
      <c r="F85" s="110">
        <f>SUM(F82:F84)</f>
        <v>0</v>
      </c>
      <c r="G85" s="125">
        <f>SUM(C85:F85)</f>
        <v>3</v>
      </c>
      <c r="H85" s="125"/>
      <c r="I85" s="125"/>
      <c r="J85" s="24"/>
      <c r="K85" s="42"/>
      <c r="L85" s="43"/>
      <c r="M85" s="54"/>
    </row>
    <row r="86" spans="1:13" ht="56">
      <c r="A86" s="115">
        <v>56</v>
      </c>
      <c r="B86" s="118">
        <v>1994</v>
      </c>
      <c r="C86" s="124">
        <v>1</v>
      </c>
      <c r="D86" s="124"/>
      <c r="E86" s="124"/>
      <c r="F86" s="107"/>
      <c r="G86" s="124"/>
      <c r="H86" s="124">
        <v>5</v>
      </c>
      <c r="I86" s="124" t="s">
        <v>509</v>
      </c>
      <c r="J86" s="21" t="s">
        <v>344</v>
      </c>
      <c r="K86" s="38">
        <v>1995</v>
      </c>
      <c r="L86" s="39" t="s">
        <v>399</v>
      </c>
      <c r="M86" s="61" t="s">
        <v>572</v>
      </c>
    </row>
    <row r="87" spans="1:13" ht="28">
      <c r="A87" s="115">
        <v>57</v>
      </c>
      <c r="B87" s="118"/>
      <c r="C87" s="124"/>
      <c r="D87" s="124">
        <v>1</v>
      </c>
      <c r="E87" s="124"/>
      <c r="F87" s="107"/>
      <c r="G87" s="128"/>
      <c r="H87" s="128">
        <v>25</v>
      </c>
      <c r="I87" s="128" t="s">
        <v>507</v>
      </c>
      <c r="J87" s="21" t="s">
        <v>455</v>
      </c>
      <c r="K87" s="38" t="s">
        <v>381</v>
      </c>
      <c r="L87" s="39"/>
      <c r="M87" s="52"/>
    </row>
    <row r="88" spans="1:13" ht="42">
      <c r="A88" s="115">
        <v>58</v>
      </c>
      <c r="B88" s="118"/>
      <c r="C88" s="124"/>
      <c r="D88" s="124"/>
      <c r="E88" s="124">
        <v>1</v>
      </c>
      <c r="F88" s="107"/>
      <c r="G88" s="128"/>
      <c r="H88" s="128">
        <v>3</v>
      </c>
      <c r="I88" s="128" t="s">
        <v>506</v>
      </c>
      <c r="J88" s="21" t="s">
        <v>287</v>
      </c>
      <c r="K88" s="38" t="s">
        <v>400</v>
      </c>
      <c r="L88" s="39"/>
      <c r="M88" s="52"/>
    </row>
    <row r="89" spans="1:13" ht="70">
      <c r="A89" s="115">
        <v>59</v>
      </c>
      <c r="B89" s="118"/>
      <c r="C89" s="124"/>
      <c r="D89" s="124">
        <v>1</v>
      </c>
      <c r="E89" s="124"/>
      <c r="F89" s="107"/>
      <c r="G89" s="128"/>
      <c r="H89" s="128">
        <v>4</v>
      </c>
      <c r="I89" s="128" t="s">
        <v>510</v>
      </c>
      <c r="J89" s="21" t="s">
        <v>464</v>
      </c>
      <c r="K89" s="38" t="s">
        <v>378</v>
      </c>
      <c r="L89" s="39"/>
      <c r="M89" s="52"/>
    </row>
    <row r="90" spans="1:13" ht="28">
      <c r="A90" s="115">
        <v>60</v>
      </c>
      <c r="B90" s="118"/>
      <c r="C90" s="124"/>
      <c r="D90" s="124"/>
      <c r="E90" s="124"/>
      <c r="F90" s="107">
        <v>1</v>
      </c>
      <c r="G90" s="124"/>
      <c r="H90" s="124">
        <v>124</v>
      </c>
      <c r="I90" s="124" t="s">
        <v>507</v>
      </c>
      <c r="J90" s="21" t="s">
        <v>499</v>
      </c>
      <c r="K90" s="38">
        <v>2015</v>
      </c>
      <c r="L90" s="39"/>
      <c r="M90" s="52"/>
    </row>
    <row r="91" spans="1:13" s="22" customFormat="1" ht="14">
      <c r="A91" s="126"/>
      <c r="B91" s="127" t="s">
        <v>394</v>
      </c>
      <c r="C91" s="125">
        <f>SUM(C86:C90)</f>
        <v>1</v>
      </c>
      <c r="D91" s="125">
        <f>SUM(D86:D90)</f>
        <v>2</v>
      </c>
      <c r="E91" s="125">
        <f>SUM(E86:E90)</f>
        <v>1</v>
      </c>
      <c r="F91" s="110">
        <f>SUM(F86:F90)</f>
        <v>1</v>
      </c>
      <c r="G91" s="125">
        <f>SUM(C91:F91)</f>
        <v>5</v>
      </c>
      <c r="H91" s="125"/>
      <c r="I91" s="125"/>
      <c r="J91" s="24"/>
      <c r="K91" s="42"/>
      <c r="L91" s="43"/>
      <c r="M91" s="54"/>
    </row>
    <row r="92" spans="1:13" ht="42">
      <c r="A92" s="115">
        <v>61</v>
      </c>
      <c r="B92" s="118">
        <v>1995</v>
      </c>
      <c r="C92" s="124"/>
      <c r="D92" s="124"/>
      <c r="E92" s="124">
        <v>1</v>
      </c>
      <c r="F92" s="107"/>
      <c r="G92" s="124"/>
      <c r="H92" s="124">
        <v>12</v>
      </c>
      <c r="I92" s="124" t="s">
        <v>507</v>
      </c>
      <c r="J92" s="21" t="s">
        <v>453</v>
      </c>
      <c r="K92" s="38" t="s">
        <v>333</v>
      </c>
      <c r="L92" s="39" t="s">
        <v>341</v>
      </c>
      <c r="M92" s="52"/>
    </row>
    <row r="93" spans="1:13" s="22" customFormat="1" ht="14">
      <c r="A93" s="126"/>
      <c r="B93" s="127" t="s">
        <v>435</v>
      </c>
      <c r="C93" s="125">
        <f>SUM(C92)</f>
        <v>0</v>
      </c>
      <c r="D93" s="125">
        <f>SUM(D92)</f>
        <v>0</v>
      </c>
      <c r="E93" s="125">
        <f>SUM(E92)</f>
        <v>1</v>
      </c>
      <c r="F93" s="110">
        <f>SUM(F92)</f>
        <v>0</v>
      </c>
      <c r="G93" s="125">
        <f>SUM(C93:F93)</f>
        <v>1</v>
      </c>
      <c r="H93" s="125"/>
      <c r="I93" s="125"/>
      <c r="J93" s="24"/>
      <c r="K93" s="42"/>
      <c r="L93" s="51" t="s">
        <v>342</v>
      </c>
      <c r="M93" s="54"/>
    </row>
    <row r="94" spans="1:13" ht="42">
      <c r="A94" s="115">
        <v>62</v>
      </c>
      <c r="B94" s="118">
        <v>1996</v>
      </c>
      <c r="C94" s="92">
        <v>1</v>
      </c>
      <c r="D94" s="141"/>
      <c r="E94" s="142"/>
      <c r="F94" s="107"/>
      <c r="G94" s="124"/>
      <c r="H94" s="124">
        <v>125</v>
      </c>
      <c r="I94" s="124" t="s">
        <v>517</v>
      </c>
      <c r="J94" s="21" t="s">
        <v>479</v>
      </c>
      <c r="K94" s="38">
        <v>2015</v>
      </c>
      <c r="L94" s="39" t="s">
        <v>305</v>
      </c>
      <c r="M94" s="102" t="s">
        <v>571</v>
      </c>
    </row>
    <row r="95" spans="1:13" ht="28">
      <c r="A95" s="115">
        <v>63</v>
      </c>
      <c r="B95" s="118"/>
      <c r="C95" s="141"/>
      <c r="D95" s="141"/>
      <c r="E95" s="141">
        <v>1</v>
      </c>
      <c r="F95" s="107"/>
      <c r="G95" s="124"/>
      <c r="H95" s="124">
        <v>125</v>
      </c>
      <c r="I95" s="124" t="s">
        <v>523</v>
      </c>
      <c r="J95" s="21" t="s">
        <v>283</v>
      </c>
      <c r="K95" s="38">
        <v>2015</v>
      </c>
      <c r="L95" s="39" t="s">
        <v>306</v>
      </c>
      <c r="M95" s="57"/>
    </row>
    <row r="96" spans="1:13" s="22" customFormat="1" ht="14">
      <c r="A96" s="126"/>
      <c r="B96" s="127" t="s">
        <v>392</v>
      </c>
      <c r="C96" s="90">
        <f>SUM(C94:C95)</f>
        <v>1</v>
      </c>
      <c r="D96" s="90">
        <f>SUM(D94:D95)</f>
        <v>0</v>
      </c>
      <c r="E96" s="90">
        <f>SUM(E94:E95)</f>
        <v>1</v>
      </c>
      <c r="F96" s="110">
        <f>SUM(F94:F95)</f>
        <v>0</v>
      </c>
      <c r="G96" s="125">
        <f>SUM(C96:F96)</f>
        <v>2</v>
      </c>
      <c r="H96" s="125"/>
      <c r="I96" s="125"/>
      <c r="J96" s="24"/>
      <c r="K96" s="42"/>
      <c r="L96" s="43"/>
      <c r="M96" s="58"/>
    </row>
    <row r="97" spans="1:13" ht="70">
      <c r="A97" s="115">
        <v>64</v>
      </c>
      <c r="B97" s="118">
        <v>1997</v>
      </c>
      <c r="C97" s="143"/>
      <c r="D97" s="92">
        <v>1</v>
      </c>
      <c r="E97" s="143"/>
      <c r="F97" s="107"/>
      <c r="G97" s="124"/>
      <c r="H97" s="124">
        <v>234</v>
      </c>
      <c r="I97" s="124" t="s">
        <v>518</v>
      </c>
      <c r="J97" s="36" t="s">
        <v>441</v>
      </c>
      <c r="K97" s="50">
        <v>1999</v>
      </c>
      <c r="L97" s="39"/>
      <c r="M97" s="102" t="s">
        <v>570</v>
      </c>
    </row>
    <row r="98" spans="1:13" ht="28">
      <c r="A98" s="115">
        <v>65</v>
      </c>
      <c r="B98" s="118"/>
      <c r="C98" s="143"/>
      <c r="D98" s="92">
        <v>1</v>
      </c>
      <c r="E98" s="143"/>
      <c r="F98" s="107"/>
      <c r="G98" s="128"/>
      <c r="H98" s="128">
        <v>3</v>
      </c>
      <c r="I98" s="128" t="s">
        <v>506</v>
      </c>
      <c r="J98" s="21" t="s">
        <v>442</v>
      </c>
      <c r="K98" s="38" t="s">
        <v>381</v>
      </c>
      <c r="L98" s="39"/>
      <c r="M98" s="52"/>
    </row>
    <row r="99" spans="1:13" ht="56">
      <c r="A99" s="115">
        <v>66</v>
      </c>
      <c r="B99" s="118"/>
      <c r="C99" s="143"/>
      <c r="D99" s="92">
        <v>1</v>
      </c>
      <c r="E99" s="143"/>
      <c r="F99" s="107"/>
      <c r="G99" s="124"/>
      <c r="H99" s="124">
        <v>1</v>
      </c>
      <c r="I99" s="124" t="s">
        <v>507</v>
      </c>
      <c r="J99" s="21" t="s">
        <v>303</v>
      </c>
      <c r="K99" s="38" t="s">
        <v>401</v>
      </c>
      <c r="L99" s="39"/>
      <c r="M99" s="57"/>
    </row>
    <row r="100" spans="1:13" s="22" customFormat="1" ht="14">
      <c r="A100" s="126"/>
      <c r="B100" s="127" t="s">
        <v>394</v>
      </c>
      <c r="C100" s="90">
        <f>SUM(C97:C99)</f>
        <v>0</v>
      </c>
      <c r="D100" s="90">
        <f>SUM(D97:D99)</f>
        <v>3</v>
      </c>
      <c r="E100" s="90">
        <f>SUM(E97:E99)</f>
        <v>0</v>
      </c>
      <c r="F100" s="110">
        <f>SUM(F97:F99)</f>
        <v>0</v>
      </c>
      <c r="G100" s="90">
        <f>SUM(C100:F100)</f>
        <v>3</v>
      </c>
      <c r="H100" s="90"/>
      <c r="I100" s="90"/>
      <c r="J100" s="24"/>
      <c r="K100" s="42"/>
      <c r="L100" s="43"/>
      <c r="M100" s="58"/>
    </row>
    <row r="101" spans="1:13" ht="25" customHeight="1">
      <c r="A101" s="115">
        <v>67</v>
      </c>
      <c r="B101" s="118">
        <v>1998</v>
      </c>
      <c r="C101" s="124"/>
      <c r="D101" s="124">
        <v>1</v>
      </c>
      <c r="E101" s="124"/>
      <c r="F101" s="107"/>
      <c r="G101" s="124"/>
      <c r="H101" s="124">
        <v>124</v>
      </c>
      <c r="I101" s="124" t="s">
        <v>507</v>
      </c>
      <c r="J101" s="21" t="s">
        <v>461</v>
      </c>
      <c r="K101" s="38">
        <v>2015</v>
      </c>
      <c r="L101" s="39" t="s">
        <v>318</v>
      </c>
      <c r="M101" s="52"/>
    </row>
    <row r="102" spans="1:13" s="22" customFormat="1" ht="28">
      <c r="A102" s="126"/>
      <c r="B102" s="127" t="s">
        <v>394</v>
      </c>
      <c r="C102" s="125">
        <f>SUM(C101)</f>
        <v>0</v>
      </c>
      <c r="D102" s="125">
        <f>SUM(D101)</f>
        <v>1</v>
      </c>
      <c r="E102" s="125">
        <f>SUM(E101)</f>
        <v>0</v>
      </c>
      <c r="F102" s="110">
        <f>SUM(F101)</f>
        <v>0</v>
      </c>
      <c r="G102" s="125">
        <f>SUM(C102:F102)</f>
        <v>1</v>
      </c>
      <c r="H102" s="125"/>
      <c r="I102" s="125"/>
      <c r="J102" s="24"/>
      <c r="K102" s="42"/>
      <c r="L102" s="51" t="s">
        <v>304</v>
      </c>
      <c r="M102" s="54"/>
    </row>
    <row r="103" spans="1:13" ht="14">
      <c r="A103" s="115">
        <v>68</v>
      </c>
      <c r="B103" s="118">
        <v>1999</v>
      </c>
      <c r="C103" s="124">
        <v>1</v>
      </c>
      <c r="D103" s="124"/>
      <c r="E103" s="124"/>
      <c r="F103" s="107"/>
      <c r="G103" s="124"/>
      <c r="H103" s="124">
        <v>5</v>
      </c>
      <c r="I103" s="124" t="s">
        <v>509</v>
      </c>
      <c r="J103" s="21" t="s">
        <v>462</v>
      </c>
      <c r="K103" s="38" t="s">
        <v>402</v>
      </c>
      <c r="L103" s="39"/>
      <c r="M103" s="56"/>
    </row>
    <row r="104" spans="1:13" s="22" customFormat="1" ht="14">
      <c r="A104" s="126"/>
      <c r="B104" s="127" t="s">
        <v>394</v>
      </c>
      <c r="C104" s="125">
        <f>SUM(C103)</f>
        <v>1</v>
      </c>
      <c r="D104" s="125">
        <f>SUM(D103)</f>
        <v>0</v>
      </c>
      <c r="E104" s="125">
        <f>SUM(E103)</f>
        <v>0</v>
      </c>
      <c r="F104" s="110">
        <f>SUM(F103)</f>
        <v>0</v>
      </c>
      <c r="G104" s="125">
        <f>SUM(C104:F104)</f>
        <v>1</v>
      </c>
      <c r="H104" s="125"/>
      <c r="I104" s="125"/>
      <c r="J104" s="24"/>
      <c r="K104" s="42"/>
      <c r="L104" s="43"/>
      <c r="M104" s="59"/>
    </row>
    <row r="105" spans="1:13" ht="42">
      <c r="A105" s="115">
        <v>69</v>
      </c>
      <c r="B105" s="118">
        <v>2000</v>
      </c>
      <c r="C105" s="124">
        <v>1</v>
      </c>
      <c r="D105" s="124"/>
      <c r="E105" s="124"/>
      <c r="F105" s="107"/>
      <c r="G105" s="124"/>
      <c r="H105" s="124">
        <v>35</v>
      </c>
      <c r="I105" s="124" t="s">
        <v>523</v>
      </c>
      <c r="J105" s="21" t="s">
        <v>501</v>
      </c>
      <c r="K105" s="38" t="s">
        <v>381</v>
      </c>
      <c r="L105" s="39" t="s">
        <v>322</v>
      </c>
      <c r="M105" s="52"/>
    </row>
    <row r="106" spans="1:13" ht="56">
      <c r="A106" s="115">
        <v>70</v>
      </c>
      <c r="B106" s="118"/>
      <c r="C106" s="124"/>
      <c r="D106" s="124">
        <v>1</v>
      </c>
      <c r="E106" s="124"/>
      <c r="F106" s="107"/>
      <c r="G106" s="128"/>
      <c r="H106" s="128">
        <v>4</v>
      </c>
      <c r="I106" s="128" t="s">
        <v>518</v>
      </c>
      <c r="J106" s="21" t="s">
        <v>323</v>
      </c>
      <c r="K106" s="38" t="s">
        <v>358</v>
      </c>
      <c r="L106" s="39" t="s">
        <v>264</v>
      </c>
      <c r="M106" s="52"/>
    </row>
    <row r="107" spans="1:13" ht="28">
      <c r="A107" s="115">
        <v>71</v>
      </c>
      <c r="B107" s="118"/>
      <c r="C107" s="124"/>
      <c r="D107" s="124"/>
      <c r="E107" s="124">
        <v>1</v>
      </c>
      <c r="F107" s="107"/>
      <c r="G107" s="124"/>
      <c r="H107" s="124">
        <v>12</v>
      </c>
      <c r="I107" s="124" t="s">
        <v>524</v>
      </c>
      <c r="J107" s="21" t="s">
        <v>439</v>
      </c>
      <c r="K107" s="38">
        <v>2001</v>
      </c>
      <c r="L107" s="39"/>
      <c r="M107" s="52"/>
    </row>
    <row r="108" spans="1:13" s="22" customFormat="1" ht="14">
      <c r="A108" s="126"/>
      <c r="B108" s="127" t="s">
        <v>394</v>
      </c>
      <c r="C108" s="125">
        <f>SUM(C105:C107)</f>
        <v>1</v>
      </c>
      <c r="D108" s="125">
        <f>SUM(D105:D107)</f>
        <v>1</v>
      </c>
      <c r="E108" s="125">
        <f>SUM(E105:E107)</f>
        <v>1</v>
      </c>
      <c r="F108" s="110">
        <f>SUM(F105:F107)</f>
        <v>0</v>
      </c>
      <c r="G108" s="125">
        <f>SUM(C108:F108)</f>
        <v>3</v>
      </c>
      <c r="H108" s="125"/>
      <c r="I108" s="125"/>
      <c r="J108" s="24"/>
      <c r="K108" s="42"/>
      <c r="L108" s="43"/>
      <c r="M108" s="54"/>
    </row>
    <row r="109" spans="1:13" ht="28">
      <c r="A109" s="115">
        <v>72</v>
      </c>
      <c r="B109" s="118">
        <v>2001</v>
      </c>
      <c r="C109" s="124"/>
      <c r="D109" s="124"/>
      <c r="E109" s="124">
        <v>1</v>
      </c>
      <c r="F109" s="107"/>
      <c r="G109" s="124"/>
      <c r="H109" s="124">
        <v>12</v>
      </c>
      <c r="I109" s="124" t="s">
        <v>524</v>
      </c>
      <c r="J109" s="21" t="s">
        <v>440</v>
      </c>
      <c r="K109" s="38" t="s">
        <v>403</v>
      </c>
      <c r="L109" s="39" t="s">
        <v>324</v>
      </c>
      <c r="M109" s="52"/>
    </row>
    <row r="110" spans="1:13" ht="56">
      <c r="A110" s="115">
        <v>73</v>
      </c>
      <c r="B110" s="119"/>
      <c r="C110" s="124"/>
      <c r="D110" s="124">
        <v>1</v>
      </c>
      <c r="E110" s="124"/>
      <c r="F110" s="107"/>
      <c r="G110" s="124"/>
      <c r="H110" s="124">
        <v>1</v>
      </c>
      <c r="I110" s="124" t="s">
        <v>507</v>
      </c>
      <c r="J110" s="21" t="s">
        <v>288</v>
      </c>
      <c r="K110" s="38" t="s">
        <v>404</v>
      </c>
      <c r="L110" s="39"/>
      <c r="M110" s="52"/>
    </row>
    <row r="111" spans="1:13" s="22" customFormat="1" ht="14">
      <c r="A111" s="126"/>
      <c r="B111" s="127" t="s">
        <v>394</v>
      </c>
      <c r="C111" s="125">
        <f>SUM(C109:C110)</f>
        <v>0</v>
      </c>
      <c r="D111" s="125">
        <f>SUM(D109:D110)</f>
        <v>1</v>
      </c>
      <c r="E111" s="125">
        <f>SUM(E109:E110)</f>
        <v>1</v>
      </c>
      <c r="F111" s="110">
        <f>SUM(F109:F110)</f>
        <v>0</v>
      </c>
      <c r="G111" s="125">
        <f>SUM(C111:F111)</f>
        <v>2</v>
      </c>
      <c r="H111" s="125"/>
      <c r="I111" s="125"/>
      <c r="J111" s="24"/>
      <c r="K111" s="42"/>
      <c r="L111" s="43"/>
      <c r="M111" s="54"/>
    </row>
    <row r="112" spans="1:13" ht="27" customHeight="1">
      <c r="A112" s="115">
        <v>74</v>
      </c>
      <c r="B112" s="118">
        <v>2002</v>
      </c>
      <c r="C112" s="124"/>
      <c r="D112" s="124">
        <v>1</v>
      </c>
      <c r="E112" s="124"/>
      <c r="F112" s="107"/>
      <c r="G112" s="124"/>
      <c r="H112" s="124">
        <v>1</v>
      </c>
      <c r="I112" s="124" t="s">
        <v>510</v>
      </c>
      <c r="J112" s="21" t="s">
        <v>293</v>
      </c>
      <c r="K112" s="38">
        <v>2015</v>
      </c>
      <c r="L112" s="39" t="s">
        <v>325</v>
      </c>
      <c r="M112" s="52" t="s">
        <v>321</v>
      </c>
    </row>
    <row r="113" spans="1:83" ht="28">
      <c r="A113" s="115">
        <v>75</v>
      </c>
      <c r="B113" s="118"/>
      <c r="C113" s="124"/>
      <c r="D113" s="124"/>
      <c r="E113" s="124">
        <v>1</v>
      </c>
      <c r="F113" s="107"/>
      <c r="G113" s="128"/>
      <c r="H113" s="128">
        <v>24</v>
      </c>
      <c r="I113" s="128" t="s">
        <v>523</v>
      </c>
      <c r="J113" s="21" t="s">
        <v>450</v>
      </c>
      <c r="K113" s="38">
        <v>2015</v>
      </c>
      <c r="L113" s="39"/>
      <c r="M113" s="17" t="s">
        <v>320</v>
      </c>
    </row>
    <row r="114" spans="1:83" ht="28">
      <c r="A114" s="115">
        <v>76</v>
      </c>
      <c r="B114" s="118"/>
      <c r="C114" s="124"/>
      <c r="D114" s="124">
        <v>1</v>
      </c>
      <c r="E114" s="124"/>
      <c r="F114" s="107"/>
      <c r="G114" s="124"/>
      <c r="H114" s="124">
        <v>1</v>
      </c>
      <c r="I114" s="124" t="s">
        <v>517</v>
      </c>
      <c r="J114" s="37" t="s">
        <v>291</v>
      </c>
      <c r="K114" s="38" t="s">
        <v>384</v>
      </c>
      <c r="L114" s="39"/>
      <c r="M114" s="52"/>
    </row>
    <row r="115" spans="1:83" s="22" customFormat="1" ht="14">
      <c r="A115" s="126"/>
      <c r="B115" s="127" t="s">
        <v>394</v>
      </c>
      <c r="C115" s="125">
        <f>SUM(C112:C114)</f>
        <v>0</v>
      </c>
      <c r="D115" s="125">
        <f>SUM(D112:D114)</f>
        <v>2</v>
      </c>
      <c r="E115" s="125">
        <f>SUM(E112:E114)</f>
        <v>1</v>
      </c>
      <c r="F115" s="110">
        <f>SUM(F112:F114)</f>
        <v>0</v>
      </c>
      <c r="G115" s="125">
        <f>SUM(C115:F115)</f>
        <v>3</v>
      </c>
      <c r="H115" s="125"/>
      <c r="I115" s="125"/>
      <c r="J115" s="33"/>
      <c r="K115" s="42"/>
      <c r="L115" s="43"/>
      <c r="M115" s="54"/>
    </row>
    <row r="116" spans="1:83" ht="56">
      <c r="A116" s="115">
        <v>77</v>
      </c>
      <c r="B116" s="118">
        <v>2003</v>
      </c>
      <c r="C116" s="124"/>
      <c r="D116" s="124">
        <v>1</v>
      </c>
      <c r="E116" s="124"/>
      <c r="F116" s="107"/>
      <c r="G116" s="124"/>
      <c r="H116" s="124">
        <v>234</v>
      </c>
      <c r="I116" s="124" t="s">
        <v>506</v>
      </c>
      <c r="J116" s="21" t="s">
        <v>290</v>
      </c>
      <c r="K116" s="38" t="s">
        <v>405</v>
      </c>
      <c r="L116" s="39" t="s">
        <v>289</v>
      </c>
      <c r="M116" s="52"/>
    </row>
    <row r="117" spans="1:83" s="22" customFormat="1">
      <c r="A117" s="126"/>
      <c r="B117" s="127"/>
      <c r="C117" s="125">
        <f>SUM(C116)</f>
        <v>0</v>
      </c>
      <c r="D117" s="125">
        <f>SUM(D116)</f>
        <v>1</v>
      </c>
      <c r="E117" s="125">
        <f>SUM(E116)</f>
        <v>0</v>
      </c>
      <c r="F117" s="110">
        <f>SUM(F116)</f>
        <v>0</v>
      </c>
      <c r="G117" s="125">
        <f>SUM(C117:F117)</f>
        <v>1</v>
      </c>
      <c r="H117" s="125"/>
      <c r="I117" s="125"/>
      <c r="J117" s="24"/>
      <c r="K117" s="42"/>
      <c r="L117" s="43"/>
      <c r="M117" s="54"/>
    </row>
    <row r="118" spans="1:83" ht="14">
      <c r="A118" s="115">
        <v>78</v>
      </c>
      <c r="B118" s="118">
        <v>2004</v>
      </c>
      <c r="C118" s="124">
        <v>1</v>
      </c>
      <c r="D118" s="124"/>
      <c r="E118" s="124"/>
      <c r="F118" s="107"/>
      <c r="G118" s="124"/>
      <c r="H118" s="124">
        <v>5</v>
      </c>
      <c r="I118" s="124" t="s">
        <v>509</v>
      </c>
      <c r="J118" s="21" t="s">
        <v>451</v>
      </c>
      <c r="K118" s="38" t="s">
        <v>406</v>
      </c>
      <c r="L118" s="39"/>
      <c r="M118" s="52"/>
    </row>
    <row r="119" spans="1:83" ht="70">
      <c r="A119" s="115">
        <v>79</v>
      </c>
      <c r="B119" s="118"/>
      <c r="C119" s="124"/>
      <c r="D119" s="124"/>
      <c r="E119" s="124">
        <v>1</v>
      </c>
      <c r="F119" s="107"/>
      <c r="G119" s="128"/>
      <c r="H119" s="128">
        <v>24</v>
      </c>
      <c r="I119" s="128" t="s">
        <v>523</v>
      </c>
      <c r="J119" s="21" t="s">
        <v>308</v>
      </c>
      <c r="K119" s="38">
        <v>2015</v>
      </c>
      <c r="L119" s="39"/>
      <c r="M119" s="52"/>
    </row>
    <row r="120" spans="1:83" ht="42">
      <c r="A120" s="115">
        <v>80</v>
      </c>
      <c r="B120" s="118"/>
      <c r="C120" s="124"/>
      <c r="D120" s="124">
        <v>1</v>
      </c>
      <c r="E120" s="124"/>
      <c r="F120" s="107"/>
      <c r="G120" s="128"/>
      <c r="H120" s="128">
        <v>3</v>
      </c>
      <c r="I120" s="128" t="s">
        <v>519</v>
      </c>
      <c r="J120" s="21" t="s">
        <v>449</v>
      </c>
      <c r="K120" s="38" t="s">
        <v>407</v>
      </c>
      <c r="L120" s="39"/>
      <c r="M120" s="52"/>
    </row>
    <row r="121" spans="1:83" ht="28">
      <c r="A121" s="115">
        <v>81</v>
      </c>
      <c r="B121" s="118"/>
      <c r="C121" s="124"/>
      <c r="D121" s="124">
        <v>1</v>
      </c>
      <c r="E121" s="124"/>
      <c r="F121" s="107"/>
      <c r="G121" s="124"/>
      <c r="H121" s="124">
        <v>3</v>
      </c>
      <c r="I121" s="124" t="s">
        <v>506</v>
      </c>
      <c r="J121" s="21" t="s">
        <v>284</v>
      </c>
      <c r="K121" s="38" t="s">
        <v>329</v>
      </c>
      <c r="L121" s="39"/>
      <c r="M121" s="52"/>
    </row>
    <row r="122" spans="1:83" s="22" customFormat="1" ht="14">
      <c r="A122" s="126"/>
      <c r="B122" s="127" t="s">
        <v>394</v>
      </c>
      <c r="C122" s="125">
        <f>SUM(C118:C121)</f>
        <v>1</v>
      </c>
      <c r="D122" s="125">
        <f>SUM(D118:D121)</f>
        <v>2</v>
      </c>
      <c r="E122" s="125">
        <f>SUM(E118:E121)</f>
        <v>1</v>
      </c>
      <c r="F122" s="110">
        <f>SUM(F118:F121)</f>
        <v>0</v>
      </c>
      <c r="G122" s="125">
        <f>SUM(C122:F122)</f>
        <v>4</v>
      </c>
      <c r="H122" s="125"/>
      <c r="I122" s="125"/>
      <c r="J122" s="24"/>
      <c r="K122" s="42"/>
      <c r="L122" s="43"/>
      <c r="M122" s="54"/>
    </row>
    <row r="123" spans="1:83" ht="42">
      <c r="A123" s="115">
        <v>82</v>
      </c>
      <c r="B123" s="118">
        <v>2005</v>
      </c>
      <c r="C123" s="124"/>
      <c r="D123" s="124">
        <v>1</v>
      </c>
      <c r="E123" s="124"/>
      <c r="F123" s="107"/>
      <c r="G123" s="124"/>
      <c r="H123" s="124">
        <v>2</v>
      </c>
      <c r="I123" s="124" t="s">
        <v>506</v>
      </c>
      <c r="J123" s="21" t="s">
        <v>472</v>
      </c>
      <c r="K123" s="38">
        <v>2015</v>
      </c>
      <c r="L123" s="39" t="s">
        <v>310</v>
      </c>
      <c r="M123" s="17" t="s">
        <v>312</v>
      </c>
    </row>
    <row r="124" spans="1:83" ht="28">
      <c r="A124" s="115">
        <v>83</v>
      </c>
      <c r="B124" s="118"/>
      <c r="C124" s="124"/>
      <c r="D124" s="124"/>
      <c r="E124" s="144">
        <v>1</v>
      </c>
      <c r="F124" s="107"/>
      <c r="G124" s="128"/>
      <c r="H124" s="128">
        <v>12</v>
      </c>
      <c r="I124" s="128" t="s">
        <v>506</v>
      </c>
      <c r="J124" s="21" t="s">
        <v>465</v>
      </c>
      <c r="K124" s="38" t="s">
        <v>401</v>
      </c>
      <c r="L124" s="39" t="s">
        <v>309</v>
      </c>
      <c r="M124" s="52"/>
    </row>
    <row r="125" spans="1:83" ht="28">
      <c r="A125" s="115">
        <v>84</v>
      </c>
      <c r="B125" s="118"/>
      <c r="C125" s="124">
        <v>1</v>
      </c>
      <c r="D125" s="124"/>
      <c r="E125" s="129"/>
      <c r="F125" s="107"/>
      <c r="G125" s="124"/>
      <c r="H125" s="124">
        <v>5</v>
      </c>
      <c r="I125" s="124" t="s">
        <v>517</v>
      </c>
      <c r="J125" s="21" t="s">
        <v>466</v>
      </c>
      <c r="K125" s="38">
        <v>2015</v>
      </c>
      <c r="L125" s="39" t="s">
        <v>311</v>
      </c>
      <c r="M125" s="52"/>
    </row>
    <row r="126" spans="1:83" s="22" customFormat="1" ht="14">
      <c r="A126" s="126"/>
      <c r="B126" s="127" t="s">
        <v>394</v>
      </c>
      <c r="C126" s="125">
        <f>SUM(C123:C125)</f>
        <v>1</v>
      </c>
      <c r="D126" s="125">
        <f>SUM(D123:D125)</f>
        <v>1</v>
      </c>
      <c r="E126" s="125">
        <f>SUM(E123:E125)</f>
        <v>1</v>
      </c>
      <c r="F126" s="108">
        <f>SUM(F123:F125)</f>
        <v>0</v>
      </c>
      <c r="G126" s="125">
        <f>SUM(C126:F126)</f>
        <v>3</v>
      </c>
      <c r="H126" s="125"/>
      <c r="I126" s="125"/>
      <c r="J126" s="24"/>
      <c r="K126" s="42"/>
      <c r="L126" s="43"/>
      <c r="M126" s="54"/>
    </row>
    <row r="127" spans="1:83" s="3" customFormat="1" ht="42">
      <c r="A127" s="121">
        <v>85</v>
      </c>
      <c r="B127" s="122">
        <v>2006</v>
      </c>
      <c r="C127" s="145">
        <v>1</v>
      </c>
      <c r="D127" s="145"/>
      <c r="E127" s="145"/>
      <c r="F127" s="109"/>
      <c r="G127" s="145"/>
      <c r="H127" s="145">
        <v>35</v>
      </c>
      <c r="I127" s="145" t="s">
        <v>523</v>
      </c>
      <c r="J127" s="20" t="s">
        <v>467</v>
      </c>
      <c r="K127" s="40" t="s">
        <v>343</v>
      </c>
      <c r="L127" s="41" t="s">
        <v>408</v>
      </c>
      <c r="M127" s="147" t="s">
        <v>313</v>
      </c>
    </row>
    <row r="128" spans="1:83" s="3" customFormat="1" ht="28">
      <c r="A128" s="115">
        <v>86</v>
      </c>
      <c r="B128" s="118"/>
      <c r="C128" s="124"/>
      <c r="D128" s="124"/>
      <c r="E128" s="92">
        <v>1</v>
      </c>
      <c r="F128" s="105"/>
      <c r="G128" s="124"/>
      <c r="H128" s="124">
        <v>3</v>
      </c>
      <c r="I128" s="124" t="s">
        <v>506</v>
      </c>
      <c r="J128" s="21" t="s">
        <v>500</v>
      </c>
      <c r="K128" s="38" t="s">
        <v>275</v>
      </c>
      <c r="L128" s="39"/>
      <c r="M128" s="17"/>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row>
    <row r="129" spans="1:13" s="22" customFormat="1" ht="14">
      <c r="A129" s="126"/>
      <c r="B129" s="127" t="s">
        <v>391</v>
      </c>
      <c r="C129" s="125">
        <f>SUM(C127:C128)</f>
        <v>1</v>
      </c>
      <c r="D129" s="125">
        <f>SUM(D127:D128)</f>
        <v>0</v>
      </c>
      <c r="E129" s="125">
        <f>SUM(E127:E128)</f>
        <v>1</v>
      </c>
      <c r="F129" s="110">
        <f>SUM(F127:F128)</f>
        <v>0</v>
      </c>
      <c r="G129" s="125">
        <f>SUM(C129:F129)</f>
        <v>2</v>
      </c>
      <c r="H129" s="125"/>
      <c r="I129" s="125"/>
      <c r="J129" s="32"/>
      <c r="K129" s="42"/>
      <c r="L129" s="43"/>
      <c r="M129" s="148"/>
    </row>
    <row r="130" spans="1:13" ht="42">
      <c r="A130" s="115">
        <v>87</v>
      </c>
      <c r="B130" s="118">
        <v>2007</v>
      </c>
      <c r="C130" s="124"/>
      <c r="D130" s="92">
        <v>1</v>
      </c>
      <c r="E130" s="92"/>
      <c r="F130" s="107"/>
      <c r="G130" s="92"/>
      <c r="H130" s="92">
        <v>2</v>
      </c>
      <c r="I130" s="92" t="s">
        <v>518</v>
      </c>
      <c r="J130" s="21" t="s">
        <v>282</v>
      </c>
      <c r="K130" s="38">
        <v>2015</v>
      </c>
      <c r="L130" s="39"/>
      <c r="M130" s="52" t="s">
        <v>574</v>
      </c>
    </row>
    <row r="131" spans="1:13" ht="70">
      <c r="A131" s="115">
        <v>88</v>
      </c>
      <c r="B131" s="118"/>
      <c r="C131" s="124"/>
      <c r="D131" s="92"/>
      <c r="E131" s="92">
        <v>1</v>
      </c>
      <c r="F131" s="107"/>
      <c r="G131" s="91"/>
      <c r="H131" s="91">
        <v>23</v>
      </c>
      <c r="I131" s="91" t="s">
        <v>506</v>
      </c>
      <c r="J131" s="21" t="s">
        <v>248</v>
      </c>
      <c r="K131" s="38" t="s">
        <v>409</v>
      </c>
      <c r="L131" s="39"/>
      <c r="M131" s="61" t="s">
        <v>281</v>
      </c>
    </row>
    <row r="132" spans="1:13" ht="56">
      <c r="A132" s="115">
        <v>89</v>
      </c>
      <c r="B132" s="118"/>
      <c r="C132" s="124"/>
      <c r="D132" s="92"/>
      <c r="E132" s="92">
        <v>1</v>
      </c>
      <c r="F132" s="107"/>
      <c r="G132" s="91"/>
      <c r="H132" s="91">
        <v>24</v>
      </c>
      <c r="I132" s="91" t="s">
        <v>506</v>
      </c>
      <c r="J132" s="21" t="s">
        <v>471</v>
      </c>
      <c r="K132" s="38" t="s">
        <v>381</v>
      </c>
      <c r="L132" s="39"/>
      <c r="M132" s="52"/>
    </row>
    <row r="133" spans="1:13" ht="70">
      <c r="A133" s="115">
        <v>90</v>
      </c>
      <c r="B133" s="118"/>
      <c r="C133" s="124"/>
      <c r="D133" s="92"/>
      <c r="E133" s="92">
        <v>1</v>
      </c>
      <c r="F133" s="107"/>
      <c r="G133" s="92"/>
      <c r="H133" s="92">
        <v>35</v>
      </c>
      <c r="I133" s="92" t="s">
        <v>523</v>
      </c>
      <c r="J133" s="21" t="s">
        <v>272</v>
      </c>
      <c r="K133" s="71">
        <v>2015</v>
      </c>
      <c r="L133" s="39"/>
      <c r="M133" s="52"/>
    </row>
    <row r="134" spans="1:13" s="22" customFormat="1" ht="14">
      <c r="A134" s="126"/>
      <c r="B134" s="127" t="s">
        <v>391</v>
      </c>
      <c r="C134" s="125">
        <f>SUM(C130:C133)</f>
        <v>0</v>
      </c>
      <c r="D134" s="125">
        <f>SUM(D130:D133)</f>
        <v>1</v>
      </c>
      <c r="E134" s="125">
        <f>SUM(E130:E133)</f>
        <v>3</v>
      </c>
      <c r="F134" s="110">
        <f>SUM(F130:F133)</f>
        <v>0</v>
      </c>
      <c r="G134" s="90">
        <f>SUM(C134:F134)</f>
        <v>4</v>
      </c>
      <c r="H134" s="90"/>
      <c r="I134" s="90"/>
      <c r="J134" s="24"/>
      <c r="K134" s="42"/>
      <c r="L134" s="43"/>
      <c r="M134" s="54"/>
    </row>
    <row r="135" spans="1:13" ht="28">
      <c r="A135" s="115">
        <v>91</v>
      </c>
      <c r="B135" s="118">
        <v>2008</v>
      </c>
      <c r="C135" s="124"/>
      <c r="D135" s="124">
        <v>1</v>
      </c>
      <c r="E135" s="124"/>
      <c r="F135" s="107"/>
      <c r="G135" s="124"/>
      <c r="H135" s="124">
        <v>2</v>
      </c>
      <c r="I135" s="124" t="s">
        <v>518</v>
      </c>
      <c r="J135" s="21" t="s">
        <v>452</v>
      </c>
      <c r="K135" s="38">
        <v>2015</v>
      </c>
      <c r="L135" s="39" t="s">
        <v>280</v>
      </c>
      <c r="M135" s="52"/>
    </row>
    <row r="136" spans="1:13" ht="70">
      <c r="A136" s="115">
        <v>92</v>
      </c>
      <c r="B136" s="118"/>
      <c r="C136" s="124"/>
      <c r="D136" s="124"/>
      <c r="E136" s="124">
        <v>1</v>
      </c>
      <c r="F136" s="107"/>
      <c r="G136" s="128"/>
      <c r="H136" s="128">
        <v>24</v>
      </c>
      <c r="I136" s="128" t="s">
        <v>506</v>
      </c>
      <c r="J136" s="21" t="s">
        <v>468</v>
      </c>
      <c r="K136" s="38">
        <v>2015</v>
      </c>
      <c r="L136" s="39" t="s">
        <v>307</v>
      </c>
      <c r="M136" s="56"/>
    </row>
    <row r="137" spans="1:13" ht="42">
      <c r="A137" s="115">
        <v>93</v>
      </c>
      <c r="B137" s="118"/>
      <c r="C137" s="124"/>
      <c r="D137" s="124"/>
      <c r="E137" s="124">
        <v>1</v>
      </c>
      <c r="F137" s="107"/>
      <c r="G137" s="124"/>
      <c r="H137" s="124">
        <v>25</v>
      </c>
      <c r="I137" s="124" t="s">
        <v>506</v>
      </c>
      <c r="J137" s="21" t="s">
        <v>273</v>
      </c>
      <c r="K137" s="71" t="s">
        <v>274</v>
      </c>
      <c r="L137" s="39"/>
      <c r="M137" s="52"/>
    </row>
    <row r="138" spans="1:13" s="22" customFormat="1">
      <c r="A138" s="126"/>
      <c r="B138" s="127"/>
      <c r="C138" s="125">
        <f>SUM(C135:C137)</f>
        <v>0</v>
      </c>
      <c r="D138" s="125">
        <f>SUM(D135:D137)</f>
        <v>1</v>
      </c>
      <c r="E138" s="125">
        <f>SUM(E135:E137)</f>
        <v>2</v>
      </c>
      <c r="F138" s="110">
        <f>SUM(F135:F137)</f>
        <v>0</v>
      </c>
      <c r="G138" s="125">
        <f>SUM(C138:F138)</f>
        <v>3</v>
      </c>
      <c r="H138" s="125"/>
      <c r="I138" s="125"/>
      <c r="J138" s="24"/>
      <c r="K138" s="42"/>
      <c r="L138" s="43"/>
      <c r="M138" s="54"/>
    </row>
    <row r="139" spans="1:13" ht="14">
      <c r="A139" s="115">
        <v>94</v>
      </c>
      <c r="B139" s="118">
        <v>2009</v>
      </c>
      <c r="C139" s="124">
        <v>1</v>
      </c>
      <c r="D139" s="124"/>
      <c r="E139" s="124"/>
      <c r="F139" s="107"/>
      <c r="G139" s="124"/>
      <c r="H139" s="124">
        <v>5</v>
      </c>
      <c r="I139" s="124" t="s">
        <v>509</v>
      </c>
      <c r="J139" s="21" t="s">
        <v>476</v>
      </c>
      <c r="K139" s="38" t="s">
        <v>381</v>
      </c>
      <c r="L139" s="39"/>
      <c r="M139" s="52"/>
    </row>
    <row r="140" spans="1:13" ht="14">
      <c r="A140" s="115">
        <v>95</v>
      </c>
      <c r="B140" s="118"/>
      <c r="C140" s="124"/>
      <c r="D140" s="124">
        <v>1</v>
      </c>
      <c r="E140" s="124"/>
      <c r="F140" s="107"/>
      <c r="G140" s="128"/>
      <c r="H140" s="128">
        <v>2</v>
      </c>
      <c r="I140" s="128" t="s">
        <v>518</v>
      </c>
      <c r="J140" s="21" t="s">
        <v>458</v>
      </c>
      <c r="K140" s="38">
        <v>2015</v>
      </c>
      <c r="L140" s="39"/>
      <c r="M140" s="52"/>
    </row>
    <row r="141" spans="1:13" ht="42">
      <c r="A141" s="115">
        <v>96</v>
      </c>
      <c r="B141" s="118"/>
      <c r="C141" s="124"/>
      <c r="D141" s="124"/>
      <c r="E141" s="124">
        <v>1</v>
      </c>
      <c r="F141" s="107"/>
      <c r="G141" s="128"/>
      <c r="H141" s="128">
        <v>24</v>
      </c>
      <c r="I141" s="128" t="s">
        <v>506</v>
      </c>
      <c r="J141" s="21" t="s">
        <v>459</v>
      </c>
      <c r="K141" s="38" t="s">
        <v>333</v>
      </c>
      <c r="L141" s="39"/>
      <c r="M141" s="52"/>
    </row>
    <row r="142" spans="1:13" ht="28">
      <c r="A142" s="115">
        <v>97</v>
      </c>
      <c r="B142" s="118"/>
      <c r="C142" s="124">
        <v>1</v>
      </c>
      <c r="D142" s="124"/>
      <c r="E142" s="124"/>
      <c r="F142" s="107"/>
      <c r="G142" s="128"/>
      <c r="H142" s="128">
        <v>5</v>
      </c>
      <c r="I142" s="128" t="s">
        <v>525</v>
      </c>
      <c r="J142" s="21" t="s">
        <v>460</v>
      </c>
      <c r="K142" s="38">
        <v>2015</v>
      </c>
      <c r="L142" s="39"/>
      <c r="M142" s="52"/>
    </row>
    <row r="143" spans="1:13" ht="14">
      <c r="A143" s="115">
        <v>98</v>
      </c>
      <c r="B143" s="119"/>
      <c r="C143" s="124"/>
      <c r="D143" s="124"/>
      <c r="E143" s="124">
        <v>1</v>
      </c>
      <c r="F143" s="107"/>
      <c r="G143" s="124"/>
      <c r="H143" s="124">
        <v>1</v>
      </c>
      <c r="I143" s="124" t="s">
        <v>524</v>
      </c>
      <c r="J143" s="21" t="s">
        <v>495</v>
      </c>
      <c r="K143" s="38" t="s">
        <v>401</v>
      </c>
      <c r="L143" s="39"/>
      <c r="M143" s="52"/>
    </row>
    <row r="144" spans="1:13" s="22" customFormat="1" ht="14">
      <c r="A144" s="126"/>
      <c r="B144" s="127" t="s">
        <v>391</v>
      </c>
      <c r="C144" s="125">
        <f>SUM(C139:C143)</f>
        <v>2</v>
      </c>
      <c r="D144" s="125">
        <f>SUM(D139:D143)</f>
        <v>1</v>
      </c>
      <c r="E144" s="125">
        <f>SUM(E139:E143)</f>
        <v>2</v>
      </c>
      <c r="F144" s="110">
        <f>SUM(F139:F143)</f>
        <v>0</v>
      </c>
      <c r="G144" s="125">
        <f>SUM(C144:F144)</f>
        <v>5</v>
      </c>
      <c r="H144" s="125"/>
      <c r="I144" s="125"/>
      <c r="J144" s="24"/>
      <c r="K144" s="42"/>
      <c r="L144" s="43"/>
      <c r="M144" s="54"/>
    </row>
    <row r="145" spans="1:13" ht="42">
      <c r="A145" s="115">
        <v>99</v>
      </c>
      <c r="B145" s="118">
        <v>2010</v>
      </c>
      <c r="C145" s="124"/>
      <c r="D145" s="124">
        <v>1</v>
      </c>
      <c r="E145" s="124"/>
      <c r="F145" s="107"/>
      <c r="G145" s="124"/>
      <c r="H145" s="124">
        <v>2</v>
      </c>
      <c r="I145" s="124" t="s">
        <v>518</v>
      </c>
      <c r="J145" s="21" t="s">
        <v>496</v>
      </c>
      <c r="K145" s="38">
        <v>2015</v>
      </c>
      <c r="L145" s="62" t="s">
        <v>279</v>
      </c>
      <c r="M145" s="52" t="s">
        <v>569</v>
      </c>
    </row>
    <row r="146" spans="1:13" ht="42">
      <c r="A146" s="115">
        <v>100</v>
      </c>
      <c r="B146" s="118"/>
      <c r="C146" s="124"/>
      <c r="D146" s="124">
        <v>1</v>
      </c>
      <c r="E146" s="124"/>
      <c r="F146" s="107"/>
      <c r="G146" s="128"/>
      <c r="H146" s="128">
        <v>1</v>
      </c>
      <c r="I146" s="128" t="s">
        <v>517</v>
      </c>
      <c r="J146" s="21" t="s">
        <v>245</v>
      </c>
      <c r="K146" s="38">
        <v>2015</v>
      </c>
      <c r="L146" s="62" t="s">
        <v>277</v>
      </c>
      <c r="M146" s="52"/>
    </row>
    <row r="147" spans="1:13" ht="28">
      <c r="A147" s="115">
        <v>101</v>
      </c>
      <c r="B147" s="118"/>
      <c r="C147" s="124">
        <v>1</v>
      </c>
      <c r="D147" s="124"/>
      <c r="E147" s="124"/>
      <c r="F147" s="107"/>
      <c r="G147" s="128"/>
      <c r="H147" s="128">
        <v>5</v>
      </c>
      <c r="I147" s="128" t="s">
        <v>117</v>
      </c>
      <c r="J147" s="21" t="s">
        <v>85</v>
      </c>
      <c r="K147" s="38" t="s">
        <v>381</v>
      </c>
      <c r="L147" s="64" t="s">
        <v>298</v>
      </c>
      <c r="M147" s="52"/>
    </row>
    <row r="148" spans="1:13" ht="28">
      <c r="A148" s="115">
        <v>102</v>
      </c>
      <c r="B148" s="118"/>
      <c r="C148" s="124"/>
      <c r="D148" s="124"/>
      <c r="E148" s="124">
        <v>1</v>
      </c>
      <c r="F148" s="107"/>
      <c r="G148" s="128"/>
      <c r="H148" s="128">
        <v>24</v>
      </c>
      <c r="I148" s="128" t="s">
        <v>527</v>
      </c>
      <c r="J148" s="21" t="s">
        <v>473</v>
      </c>
      <c r="K148" s="38" t="s">
        <v>329</v>
      </c>
      <c r="L148" s="39"/>
      <c r="M148" s="52"/>
    </row>
    <row r="149" spans="1:13" ht="42">
      <c r="A149" s="115">
        <v>103</v>
      </c>
      <c r="B149" s="118"/>
      <c r="C149" s="124"/>
      <c r="D149" s="124">
        <v>1</v>
      </c>
      <c r="E149" s="124"/>
      <c r="F149" s="107"/>
      <c r="G149" s="124"/>
      <c r="H149" s="124">
        <v>3</v>
      </c>
      <c r="I149" s="124" t="s">
        <v>506</v>
      </c>
      <c r="J149" s="21" t="s">
        <v>564</v>
      </c>
      <c r="K149" s="38" t="s">
        <v>329</v>
      </c>
      <c r="L149" s="39"/>
      <c r="M149" s="52"/>
    </row>
    <row r="150" spans="1:13" s="22" customFormat="1" ht="14">
      <c r="A150" s="126"/>
      <c r="B150" s="127" t="s">
        <v>391</v>
      </c>
      <c r="C150" s="125">
        <f>SUM(C145:C149)</f>
        <v>1</v>
      </c>
      <c r="D150" s="125">
        <f>SUM(D145:D149)</f>
        <v>3</v>
      </c>
      <c r="E150" s="125">
        <f>SUM(E145:E149)</f>
        <v>1</v>
      </c>
      <c r="F150" s="110">
        <f>SUM(F145:F149)</f>
        <v>0</v>
      </c>
      <c r="G150" s="125">
        <f>SUM(C150:F150)</f>
        <v>5</v>
      </c>
      <c r="H150" s="125"/>
      <c r="I150" s="125"/>
      <c r="J150" s="24"/>
      <c r="K150" s="42"/>
      <c r="L150" s="43"/>
      <c r="M150" s="54"/>
    </row>
    <row r="151" spans="1:13" ht="31">
      <c r="A151" s="115">
        <v>104</v>
      </c>
      <c r="B151" s="118">
        <v>2011</v>
      </c>
      <c r="C151" s="124">
        <v>1</v>
      </c>
      <c r="D151" s="124"/>
      <c r="E151" s="124"/>
      <c r="F151" s="107"/>
      <c r="G151" s="124"/>
      <c r="H151" s="124">
        <v>5</v>
      </c>
      <c r="I151" s="124" t="s">
        <v>509</v>
      </c>
      <c r="J151" s="21" t="s">
        <v>474</v>
      </c>
      <c r="K151" s="38" t="s">
        <v>329</v>
      </c>
      <c r="L151" s="39" t="s">
        <v>278</v>
      </c>
      <c r="M151" s="102" t="s">
        <v>550</v>
      </c>
    </row>
    <row r="152" spans="1:13" ht="14">
      <c r="A152" s="115">
        <v>105</v>
      </c>
      <c r="B152" s="118"/>
      <c r="C152" s="124"/>
      <c r="D152" s="124">
        <v>1</v>
      </c>
      <c r="E152" s="124"/>
      <c r="F152" s="107"/>
      <c r="G152" s="128"/>
      <c r="H152" s="128">
        <v>2</v>
      </c>
      <c r="I152" s="128" t="s">
        <v>518</v>
      </c>
      <c r="J152" s="21" t="s">
        <v>481</v>
      </c>
      <c r="K152" s="38">
        <v>2015</v>
      </c>
      <c r="L152" s="39" t="s">
        <v>299</v>
      </c>
      <c r="M152" s="52"/>
    </row>
    <row r="153" spans="1:13" ht="28">
      <c r="A153" s="115">
        <v>106</v>
      </c>
      <c r="B153" s="118"/>
      <c r="C153" s="124"/>
      <c r="D153" s="124"/>
      <c r="E153" s="124">
        <v>1</v>
      </c>
      <c r="F153" s="107"/>
      <c r="G153" s="128"/>
      <c r="H153" s="128">
        <v>3</v>
      </c>
      <c r="I153" s="128" t="s">
        <v>507</v>
      </c>
      <c r="J153" s="21" t="s">
        <v>86</v>
      </c>
      <c r="K153" s="38" t="s">
        <v>370</v>
      </c>
      <c r="L153" s="39" t="s">
        <v>300</v>
      </c>
      <c r="M153" s="52"/>
    </row>
    <row r="154" spans="1:13" ht="28">
      <c r="A154" s="115">
        <v>107</v>
      </c>
      <c r="B154" s="118"/>
      <c r="C154" s="124"/>
      <c r="D154" s="124"/>
      <c r="E154" s="124">
        <v>1</v>
      </c>
      <c r="F154" s="107"/>
      <c r="G154" s="124"/>
      <c r="H154" s="124">
        <v>3</v>
      </c>
      <c r="I154" s="124" t="s">
        <v>506</v>
      </c>
      <c r="J154" s="21" t="s">
        <v>87</v>
      </c>
      <c r="K154" s="38">
        <v>2012</v>
      </c>
      <c r="L154" s="39"/>
      <c r="M154" s="52"/>
    </row>
    <row r="155" spans="1:13" s="22" customFormat="1" ht="14">
      <c r="A155" s="126"/>
      <c r="B155" s="127" t="s">
        <v>391</v>
      </c>
      <c r="C155" s="125">
        <f>SUM(C151:C154)</f>
        <v>1</v>
      </c>
      <c r="D155" s="125">
        <f>SUM(D151:D154)</f>
        <v>1</v>
      </c>
      <c r="E155" s="125">
        <f>SUM(E151:E154)</f>
        <v>2</v>
      </c>
      <c r="F155" s="110">
        <f>SUM(F151:F154)</f>
        <v>0</v>
      </c>
      <c r="G155" s="125">
        <f>SUM(C155:F155)</f>
        <v>4</v>
      </c>
      <c r="H155" s="125"/>
      <c r="I155" s="125"/>
      <c r="J155" s="24"/>
      <c r="K155" s="42"/>
      <c r="L155" s="43"/>
      <c r="M155" s="54"/>
    </row>
    <row r="156" spans="1:13" ht="42">
      <c r="A156" s="115">
        <v>108</v>
      </c>
      <c r="B156" s="118">
        <v>2012</v>
      </c>
      <c r="C156" s="124">
        <v>1</v>
      </c>
      <c r="D156" s="92"/>
      <c r="E156" s="92"/>
      <c r="F156" s="107"/>
      <c r="G156" s="92"/>
      <c r="H156" s="92">
        <v>5</v>
      </c>
      <c r="I156" s="92" t="s">
        <v>509</v>
      </c>
      <c r="J156" s="21" t="s">
        <v>482</v>
      </c>
      <c r="K156" s="38" t="s">
        <v>381</v>
      </c>
      <c r="L156" s="39" t="s">
        <v>301</v>
      </c>
      <c r="M156" s="61" t="s">
        <v>276</v>
      </c>
    </row>
    <row r="157" spans="1:13" ht="14">
      <c r="A157" s="115">
        <v>109</v>
      </c>
      <c r="B157" s="118"/>
      <c r="C157" s="124"/>
      <c r="D157" s="92">
        <v>1</v>
      </c>
      <c r="E157" s="92"/>
      <c r="F157" s="107"/>
      <c r="G157" s="91"/>
      <c r="H157" s="91">
        <v>2</v>
      </c>
      <c r="I157" s="91" t="s">
        <v>518</v>
      </c>
      <c r="J157" s="21" t="s">
        <v>483</v>
      </c>
      <c r="K157" s="38">
        <v>2015</v>
      </c>
      <c r="L157" s="39" t="s">
        <v>302</v>
      </c>
      <c r="M157" s="52"/>
    </row>
    <row r="158" spans="1:13" ht="42">
      <c r="A158" s="115">
        <v>110</v>
      </c>
      <c r="B158" s="118"/>
      <c r="C158" s="124"/>
      <c r="D158" s="92"/>
      <c r="E158" s="92">
        <v>1</v>
      </c>
      <c r="F158" s="107"/>
      <c r="G158" s="91"/>
      <c r="H158" s="91">
        <v>24</v>
      </c>
      <c r="I158" s="91" t="s">
        <v>506</v>
      </c>
      <c r="J158" s="21" t="s">
        <v>72</v>
      </c>
      <c r="K158" s="38" t="s">
        <v>400</v>
      </c>
      <c r="L158" s="39"/>
      <c r="M158" s="52"/>
    </row>
    <row r="159" spans="1:13" ht="28">
      <c r="A159" s="115">
        <v>111</v>
      </c>
      <c r="B159" s="118"/>
      <c r="C159" s="124"/>
      <c r="D159" s="92"/>
      <c r="E159" s="92">
        <v>1</v>
      </c>
      <c r="F159" s="107"/>
      <c r="G159" s="91"/>
      <c r="H159" s="91">
        <v>25</v>
      </c>
      <c r="I159" s="91" t="s">
        <v>507</v>
      </c>
      <c r="J159" s="21" t="s">
        <v>568</v>
      </c>
      <c r="K159" s="38" t="s">
        <v>400</v>
      </c>
      <c r="L159" s="39"/>
      <c r="M159" s="52"/>
    </row>
    <row r="160" spans="1:13" ht="28">
      <c r="A160" s="115">
        <v>112</v>
      </c>
      <c r="B160" s="118"/>
      <c r="C160" s="124"/>
      <c r="D160" s="92"/>
      <c r="E160" s="92"/>
      <c r="F160" s="107">
        <v>1</v>
      </c>
      <c r="G160" s="91"/>
      <c r="H160" s="91">
        <v>12</v>
      </c>
      <c r="I160" s="91" t="s">
        <v>507</v>
      </c>
      <c r="J160" s="21" t="s">
        <v>73</v>
      </c>
      <c r="K160" s="38">
        <v>2015</v>
      </c>
      <c r="L160" s="39"/>
      <c r="M160" s="52"/>
    </row>
    <row r="161" spans="1:13" ht="28">
      <c r="A161" s="115">
        <v>113</v>
      </c>
      <c r="B161" s="118"/>
      <c r="C161" s="124">
        <v>1</v>
      </c>
      <c r="D161" s="92"/>
      <c r="E161" s="92"/>
      <c r="F161" s="107"/>
      <c r="G161" s="91"/>
      <c r="H161" s="91">
        <v>25</v>
      </c>
      <c r="I161" s="91" t="s">
        <v>523</v>
      </c>
      <c r="J161" s="21" t="s">
        <v>494</v>
      </c>
      <c r="K161" s="38">
        <v>2015</v>
      </c>
      <c r="L161" s="39"/>
      <c r="M161" s="52"/>
    </row>
    <row r="162" spans="1:13" ht="56">
      <c r="A162" s="115">
        <v>114</v>
      </c>
      <c r="B162" s="118"/>
      <c r="C162" s="124"/>
      <c r="D162" s="92">
        <v>1</v>
      </c>
      <c r="E162" s="92"/>
      <c r="F162" s="107"/>
      <c r="G162" s="91"/>
      <c r="H162" s="91">
        <v>2</v>
      </c>
      <c r="I162" s="91" t="s">
        <v>528</v>
      </c>
      <c r="J162" s="21" t="s">
        <v>480</v>
      </c>
      <c r="K162" s="38">
        <v>2015</v>
      </c>
      <c r="L162" s="39"/>
      <c r="M162" s="52"/>
    </row>
    <row r="163" spans="1:13" ht="56">
      <c r="A163" s="115">
        <v>115</v>
      </c>
      <c r="B163" s="118"/>
      <c r="C163" s="124">
        <v>1</v>
      </c>
      <c r="D163" s="92"/>
      <c r="E163" s="92"/>
      <c r="F163" s="107"/>
      <c r="G163" s="91"/>
      <c r="H163" s="91">
        <v>25</v>
      </c>
      <c r="I163" s="91" t="s">
        <v>517</v>
      </c>
      <c r="J163" s="21" t="s">
        <v>502</v>
      </c>
      <c r="K163" s="38">
        <v>2015</v>
      </c>
      <c r="L163" s="39"/>
      <c r="M163" s="52"/>
    </row>
    <row r="164" spans="1:13" ht="28">
      <c r="A164" s="115">
        <v>116</v>
      </c>
      <c r="B164" s="118"/>
      <c r="C164" s="124"/>
      <c r="D164" s="92">
        <v>1</v>
      </c>
      <c r="E164" s="92"/>
      <c r="F164" s="107"/>
      <c r="G164" s="92"/>
      <c r="H164" s="92">
        <v>5</v>
      </c>
      <c r="I164" s="92" t="s">
        <v>517</v>
      </c>
      <c r="J164" s="9" t="s">
        <v>74</v>
      </c>
      <c r="K164" s="38" t="s">
        <v>371</v>
      </c>
      <c r="L164" s="39"/>
      <c r="M164" s="52"/>
    </row>
    <row r="165" spans="1:13" s="22" customFormat="1" ht="14">
      <c r="A165" s="126"/>
      <c r="B165" s="127" t="s">
        <v>391</v>
      </c>
      <c r="C165" s="125">
        <f>SUM(C156:C164)</f>
        <v>3</v>
      </c>
      <c r="D165" s="125">
        <f>SUM(D156:D164)</f>
        <v>3</v>
      </c>
      <c r="E165" s="125">
        <f>SUM(E156:E164)</f>
        <v>2</v>
      </c>
      <c r="F165" s="110">
        <f>SUM(F156:F164)</f>
        <v>1</v>
      </c>
      <c r="G165" s="90">
        <f>SUM(C165:F165)</f>
        <v>9</v>
      </c>
      <c r="H165" s="90"/>
      <c r="I165" s="90"/>
      <c r="J165" s="33"/>
      <c r="K165" s="42"/>
      <c r="L165" s="43"/>
      <c r="M165" s="54"/>
    </row>
    <row r="166" spans="1:13" ht="56">
      <c r="A166" s="115">
        <v>117</v>
      </c>
      <c r="B166" s="118">
        <v>2013</v>
      </c>
      <c r="C166" s="124"/>
      <c r="D166" s="124">
        <v>1</v>
      </c>
      <c r="E166" s="124"/>
      <c r="F166" s="107"/>
      <c r="G166" s="124"/>
      <c r="H166" s="124">
        <v>2</v>
      </c>
      <c r="I166" s="124" t="s">
        <v>529</v>
      </c>
      <c r="J166" s="21" t="s">
        <v>492</v>
      </c>
      <c r="K166" s="38">
        <v>2015</v>
      </c>
      <c r="L166" s="39" t="s">
        <v>295</v>
      </c>
      <c r="M166" s="56"/>
    </row>
    <row r="167" spans="1:13" ht="28">
      <c r="A167" s="115">
        <v>118</v>
      </c>
      <c r="B167" s="118"/>
      <c r="C167" s="124"/>
      <c r="D167" s="124">
        <v>1</v>
      </c>
      <c r="E167" s="124"/>
      <c r="F167" s="107"/>
      <c r="G167" s="128"/>
      <c r="H167" s="128">
        <v>1</v>
      </c>
      <c r="I167" s="128" t="s">
        <v>517</v>
      </c>
      <c r="J167" s="21" t="s">
        <v>503</v>
      </c>
      <c r="K167" s="38" t="s">
        <v>372</v>
      </c>
      <c r="L167" s="39" t="s">
        <v>296</v>
      </c>
      <c r="M167" s="52"/>
    </row>
    <row r="168" spans="1:13" ht="42">
      <c r="A168" s="115">
        <v>119</v>
      </c>
      <c r="B168" s="118"/>
      <c r="C168" s="124"/>
      <c r="D168" s="124">
        <v>1</v>
      </c>
      <c r="E168" s="124"/>
      <c r="F168" s="107"/>
      <c r="G168" s="128"/>
      <c r="H168" s="128">
        <v>2</v>
      </c>
      <c r="I168" s="128" t="s">
        <v>507</v>
      </c>
      <c r="J168" s="21" t="s">
        <v>493</v>
      </c>
      <c r="K168" s="38" t="s">
        <v>373</v>
      </c>
      <c r="L168" s="39" t="s">
        <v>297</v>
      </c>
      <c r="M168" s="52"/>
    </row>
    <row r="169" spans="1:13" ht="28">
      <c r="A169" s="115">
        <v>120</v>
      </c>
      <c r="B169" s="118"/>
      <c r="C169" s="124"/>
      <c r="D169" s="124"/>
      <c r="E169" s="124">
        <v>1</v>
      </c>
      <c r="F169" s="107"/>
      <c r="G169" s="128"/>
      <c r="H169" s="128">
        <v>24</v>
      </c>
      <c r="I169" s="128" t="s">
        <v>527</v>
      </c>
      <c r="J169" s="21" t="s">
        <v>477</v>
      </c>
      <c r="K169" s="38" t="s">
        <v>387</v>
      </c>
      <c r="L169" s="39"/>
      <c r="M169" s="52"/>
    </row>
    <row r="170" spans="1:13" ht="42">
      <c r="A170" s="115">
        <v>121</v>
      </c>
      <c r="B170" s="118"/>
      <c r="C170" s="124"/>
      <c r="D170" s="124"/>
      <c r="E170" s="124">
        <v>1</v>
      </c>
      <c r="F170" s="107"/>
      <c r="G170" s="124"/>
      <c r="H170" s="124">
        <v>1</v>
      </c>
      <c r="I170" s="124" t="s">
        <v>524</v>
      </c>
      <c r="J170" s="21" t="s">
        <v>463</v>
      </c>
      <c r="K170" s="38">
        <v>2014</v>
      </c>
      <c r="L170" s="39"/>
      <c r="M170" s="52"/>
    </row>
    <row r="171" spans="1:13" s="22" customFormat="1" ht="14">
      <c r="A171" s="126"/>
      <c r="B171" s="127" t="s">
        <v>391</v>
      </c>
      <c r="C171" s="125">
        <f>SUM(C166:C170)</f>
        <v>0</v>
      </c>
      <c r="D171" s="125">
        <f>SUM(D166:D170)</f>
        <v>3</v>
      </c>
      <c r="E171" s="125">
        <f>SUM(E166:E170)</f>
        <v>2</v>
      </c>
      <c r="F171" s="110">
        <f>SUM(F166:F170)</f>
        <v>0</v>
      </c>
      <c r="G171" s="125">
        <f>SUM(C171:F171)</f>
        <v>5</v>
      </c>
      <c r="H171" s="125"/>
      <c r="I171" s="125"/>
      <c r="J171" s="24"/>
      <c r="K171" s="42"/>
      <c r="L171" s="43"/>
      <c r="M171" s="54"/>
    </row>
    <row r="172" spans="1:13" ht="28">
      <c r="A172" s="115">
        <v>122</v>
      </c>
      <c r="B172" s="118">
        <v>2014</v>
      </c>
      <c r="C172" s="124">
        <v>1</v>
      </c>
      <c r="D172" s="92"/>
      <c r="E172" s="92"/>
      <c r="F172" s="107"/>
      <c r="G172" s="92"/>
      <c r="H172" s="92">
        <v>5</v>
      </c>
      <c r="I172" s="92" t="s">
        <v>509</v>
      </c>
      <c r="J172" s="21" t="s">
        <v>478</v>
      </c>
      <c r="K172" s="50" t="s">
        <v>374</v>
      </c>
      <c r="L172" s="39" t="s">
        <v>292</v>
      </c>
      <c r="M172" s="56"/>
    </row>
    <row r="173" spans="1:13" ht="42">
      <c r="A173" s="115">
        <v>123</v>
      </c>
      <c r="B173" s="118"/>
      <c r="C173" s="124"/>
      <c r="D173" s="92"/>
      <c r="E173" s="124">
        <v>1</v>
      </c>
      <c r="F173" s="107"/>
      <c r="G173" s="91"/>
      <c r="H173" s="91">
        <v>2</v>
      </c>
      <c r="I173" s="91" t="s">
        <v>507</v>
      </c>
      <c r="J173" s="21" t="s">
        <v>271</v>
      </c>
      <c r="K173" s="38">
        <v>2015</v>
      </c>
      <c r="L173" s="39" t="s">
        <v>269</v>
      </c>
      <c r="M173" s="56"/>
    </row>
    <row r="174" spans="1:13" ht="28">
      <c r="A174" s="115">
        <v>124</v>
      </c>
      <c r="B174" s="118"/>
      <c r="C174" s="124"/>
      <c r="D174" s="92">
        <v>1</v>
      </c>
      <c r="E174" s="124"/>
      <c r="F174" s="107"/>
      <c r="G174" s="91"/>
      <c r="H174" s="91">
        <v>12</v>
      </c>
      <c r="I174" s="91" t="s">
        <v>531</v>
      </c>
      <c r="J174" s="21" t="s">
        <v>75</v>
      </c>
      <c r="K174" s="38">
        <v>2015</v>
      </c>
      <c r="L174" s="39"/>
      <c r="M174" s="52"/>
    </row>
    <row r="175" spans="1:13" ht="28">
      <c r="A175" s="115">
        <v>125</v>
      </c>
      <c r="B175" s="118"/>
      <c r="C175" s="124"/>
      <c r="D175" s="92"/>
      <c r="E175" s="124">
        <v>1</v>
      </c>
      <c r="F175" s="107"/>
      <c r="G175" s="91"/>
      <c r="H175" s="91">
        <v>2</v>
      </c>
      <c r="I175" s="91" t="s">
        <v>507</v>
      </c>
      <c r="J175" s="21" t="s">
        <v>486</v>
      </c>
      <c r="K175" s="38" t="s">
        <v>381</v>
      </c>
      <c r="L175" s="39"/>
      <c r="M175" s="52"/>
    </row>
    <row r="176" spans="1:13" ht="28">
      <c r="A176" s="115">
        <v>126</v>
      </c>
      <c r="B176" s="118"/>
      <c r="C176" s="124"/>
      <c r="D176" s="92"/>
      <c r="E176" s="124">
        <v>1</v>
      </c>
      <c r="F176" s="107"/>
      <c r="G176" s="91"/>
      <c r="H176" s="91">
        <v>23</v>
      </c>
      <c r="I176" s="91" t="s">
        <v>506</v>
      </c>
      <c r="J176" s="21" t="s">
        <v>69</v>
      </c>
      <c r="K176" s="38" t="s">
        <v>381</v>
      </c>
      <c r="L176" s="39"/>
      <c r="M176" s="52"/>
    </row>
    <row r="177" spans="1:13" ht="28">
      <c r="A177" s="115">
        <v>127</v>
      </c>
      <c r="B177" s="118"/>
      <c r="C177" s="124"/>
      <c r="D177" s="92">
        <v>1</v>
      </c>
      <c r="E177" s="124"/>
      <c r="F177" s="107"/>
      <c r="G177" s="91"/>
      <c r="H177" s="91">
        <v>2</v>
      </c>
      <c r="I177" s="91" t="s">
        <v>507</v>
      </c>
      <c r="J177" s="37" t="s">
        <v>487</v>
      </c>
      <c r="K177" s="38" t="s">
        <v>381</v>
      </c>
      <c r="L177" s="39"/>
      <c r="M177" s="52"/>
    </row>
    <row r="178" spans="1:13" ht="28">
      <c r="A178" s="115">
        <v>128</v>
      </c>
      <c r="B178" s="118"/>
      <c r="C178" s="124"/>
      <c r="D178" s="92">
        <v>1</v>
      </c>
      <c r="E178" s="124"/>
      <c r="F178" s="107"/>
      <c r="G178" s="92"/>
      <c r="H178" s="92">
        <v>2</v>
      </c>
      <c r="I178" s="92" t="s">
        <v>529</v>
      </c>
      <c r="J178" s="21" t="s">
        <v>470</v>
      </c>
      <c r="K178" s="38">
        <v>2015</v>
      </c>
      <c r="L178" s="39"/>
      <c r="M178" s="52"/>
    </row>
    <row r="179" spans="1:13" s="22" customFormat="1" ht="14">
      <c r="A179" s="126"/>
      <c r="B179" s="127" t="s">
        <v>391</v>
      </c>
      <c r="C179" s="125">
        <f>SUM(C172:C178)</f>
        <v>1</v>
      </c>
      <c r="D179" s="125">
        <f>SUM(D172:D178)</f>
        <v>3</v>
      </c>
      <c r="E179" s="125">
        <f>SUM(E172:E178)</f>
        <v>3</v>
      </c>
      <c r="F179" s="110">
        <f>SUM(F172:F178)</f>
        <v>0</v>
      </c>
      <c r="G179" s="90">
        <f>SUM(C179:F179)</f>
        <v>7</v>
      </c>
      <c r="H179" s="90"/>
      <c r="I179" s="90"/>
      <c r="J179" s="24"/>
      <c r="K179" s="42"/>
      <c r="L179" s="43"/>
      <c r="M179" s="54"/>
    </row>
    <row r="180" spans="1:13" ht="47" customHeight="1">
      <c r="A180" s="115">
        <v>129</v>
      </c>
      <c r="B180" s="118">
        <v>2015</v>
      </c>
      <c r="C180" s="124"/>
      <c r="D180" s="92">
        <v>1</v>
      </c>
      <c r="E180" s="143"/>
      <c r="F180" s="107"/>
      <c r="G180" s="143"/>
      <c r="H180" s="146">
        <v>12</v>
      </c>
      <c r="I180" s="146" t="s">
        <v>532</v>
      </c>
      <c r="J180" s="21" t="s">
        <v>469</v>
      </c>
      <c r="K180" s="38" t="s">
        <v>375</v>
      </c>
      <c r="L180" s="39" t="s">
        <v>294</v>
      </c>
      <c r="M180" s="31" t="s">
        <v>573</v>
      </c>
    </row>
    <row r="181" spans="1:13" ht="28">
      <c r="A181" s="115">
        <v>130</v>
      </c>
      <c r="B181" s="118"/>
      <c r="C181" s="124"/>
      <c r="D181" s="143"/>
      <c r="E181" s="92">
        <v>1</v>
      </c>
      <c r="F181" s="107"/>
      <c r="G181" s="93"/>
      <c r="H181" s="98">
        <v>24</v>
      </c>
      <c r="I181" s="98" t="s">
        <v>529</v>
      </c>
      <c r="J181" s="21" t="s">
        <v>488</v>
      </c>
      <c r="K181" s="38"/>
      <c r="L181" s="39" t="s">
        <v>265</v>
      </c>
      <c r="M181" s="56"/>
    </row>
    <row r="182" spans="1:13" ht="28">
      <c r="A182" s="115">
        <v>131</v>
      </c>
      <c r="B182" s="118"/>
      <c r="C182" s="124"/>
      <c r="D182" s="143"/>
      <c r="E182" s="92">
        <v>1</v>
      </c>
      <c r="F182" s="107"/>
      <c r="G182" s="93"/>
      <c r="H182" s="98">
        <v>2</v>
      </c>
      <c r="I182" s="98" t="s">
        <v>506</v>
      </c>
      <c r="J182" s="21" t="s">
        <v>489</v>
      </c>
      <c r="K182" s="38"/>
      <c r="L182" s="39" t="s">
        <v>266</v>
      </c>
      <c r="M182" s="56"/>
    </row>
    <row r="183" spans="1:13" ht="14">
      <c r="A183" s="115">
        <v>132</v>
      </c>
      <c r="B183" s="118"/>
      <c r="C183" s="124"/>
      <c r="D183" s="92">
        <v>1</v>
      </c>
      <c r="E183" s="143"/>
      <c r="F183" s="107"/>
      <c r="G183" s="91"/>
      <c r="H183" s="91">
        <v>12</v>
      </c>
      <c r="I183" s="98" t="s">
        <v>531</v>
      </c>
      <c r="J183" s="21" t="s">
        <v>485</v>
      </c>
      <c r="K183" s="38">
        <v>2018</v>
      </c>
      <c r="L183" s="39" t="s">
        <v>267</v>
      </c>
      <c r="M183" s="56"/>
    </row>
    <row r="184" spans="1:13" s="68" customFormat="1" ht="14">
      <c r="A184" s="130"/>
      <c r="B184" s="131" t="s">
        <v>391</v>
      </c>
      <c r="C184" s="132">
        <f>SUM(C180:C183)</f>
        <v>0</v>
      </c>
      <c r="D184" s="132">
        <f>SUM(D180:D183)</f>
        <v>2</v>
      </c>
      <c r="E184" s="132">
        <f>SUM(E180:E183)</f>
        <v>2</v>
      </c>
      <c r="F184" s="111">
        <f>SUM(F180:F183)</f>
        <v>0</v>
      </c>
      <c r="G184" s="70">
        <f>SUM(C184:F184)</f>
        <v>4</v>
      </c>
      <c r="H184" s="70"/>
      <c r="I184" s="70"/>
      <c r="J184" s="70"/>
      <c r="K184" s="65"/>
      <c r="L184" s="66"/>
      <c r="M184" s="67"/>
    </row>
    <row r="185" spans="1:13">
      <c r="B185" s="96" t="s">
        <v>268</v>
      </c>
      <c r="C185" s="88">
        <f>SUM(C4,C7,C12,C17,C21,C23,C26,C28,C32,C36,C38,C41,C45,C48,C51,C53,C58,C65,C69,C71,C74,C81,C85,C91,C93,C96,C100,C102,C104,C108,C111,C115,C117,C122,C126,C129,C134,C138,C144,C150,C155,C165,C171,C179,C184)</f>
        <v>28</v>
      </c>
      <c r="D185" s="88">
        <f>SUM(D4,D7,D12,D17,D21,D23,D26,D28,D32,D36,D38,D41,D45,D48,D51,D53,D58,D65,D69,D71,D74,D81,D85,D91,D93,D96,D100,D102,D104,D108,D111,D115,D117,D122,D126,D129,D134,D138,D144,D150,D155,D165,D171,D179,D184)</f>
        <v>68</v>
      </c>
      <c r="E185" s="88">
        <f>SUM(E4,E7,E12,E17,E21,E23,E26,E28,E32,E36,E38,E41,E45,E48,E51,E53,E58,E65,E69,E71,E74,E81,E85,E91,E93,E96,E100,E102,E104,E108,E111,E115,E117,E122,E126,E129,E134,E138,E144,E150,E155,E165,E171,E179,E184)</f>
        <v>32</v>
      </c>
      <c r="F185" s="112">
        <f>SUM(F4,F7,F12,F17,F21,F23,F26,F28,F32,F36,F38,F41,F45,F48,F51,F53,F58,F65,F69,F71,F74,F81,F85,F91,F93,F96,F100,F102,F104,F108,F111,F115,F117,F122,F126,F129,F134,F138,F144,F150,F155,F165,F171,F179,F184)</f>
        <v>4</v>
      </c>
      <c r="G185" s="88">
        <f>SUM(G4,G7,G12,G17,G21,G23,G26,G28,G32,G36,G38,G41,G45,G48,G51,G53,G58,G65,G69,G71,G74,G81,G85,G91,G93,G96,G100,G102,G104,G108,G111,G115,G117,G122,G126,G129,G134,G138,G144,G150,G155,G165,G171,G179,G184)</f>
        <v>132</v>
      </c>
      <c r="H185" s="88"/>
      <c r="I185" s="88"/>
      <c r="M185" s="52"/>
    </row>
    <row r="186" spans="1:13">
      <c r="K186" s="13"/>
      <c r="L186" s="4"/>
      <c r="M186" s="52"/>
    </row>
    <row r="187" spans="1:13">
      <c r="C187" s="133" t="s">
        <v>336</v>
      </c>
      <c r="D187" s="133" t="s">
        <v>337</v>
      </c>
      <c r="E187" s="133" t="s">
        <v>338</v>
      </c>
      <c r="F187" s="113" t="s">
        <v>246</v>
      </c>
      <c r="G187" s="134" t="s">
        <v>339</v>
      </c>
      <c r="H187" s="135" t="s">
        <v>565</v>
      </c>
      <c r="I187" s="136"/>
    </row>
    <row r="188" spans="1:13">
      <c r="A188" s="96" t="s">
        <v>412</v>
      </c>
      <c r="C188" s="72">
        <f>SUM(C4,C7,C12,C17,C21,C23,C26,C28,C32,C36,C38,C41,C45,C48,C51,C53,C58,C65,C69,C71,C74,C81,C85,C91,C93,C96,C100,C102,C104,C108,C111,C115,C117,C122,C126,C129)</f>
        <v>20</v>
      </c>
      <c r="D188" s="72">
        <f>SUM(D4,D7,D12,D17,D21,D23,D26,D28,D32,D36,D38,D41,D45,D48,D51,D53,D58,D65,D69,D71,D74,D81,D85,D91,D93,D96,D100,D102,D104,D108,D111,D115,D117,D122,D126,D129)</f>
        <v>50</v>
      </c>
      <c r="E188" s="72">
        <f>SUM(E4,E7,E12,E17,E21,E23,E26,E28,E32,E36,E38,E41,E45,E48,E51,E53,E58,E65,E69,E71,E74,E81,E85,E91,E93,E96,E100,E102,E104,E108,E111,E115,E117,E122,E126,E129)</f>
        <v>13</v>
      </c>
      <c r="F188" s="104">
        <f>SUM(F4,F7,F12,F17,F21,F23,F26,F28,F32,F36,F38,F41,F45,F48,F51,F53,F58,F65,F69,F71,F74,F81,F85,F91,F93,F96,F100,F102,F104,F108,F111,F115,F117,F122,F126,F129)</f>
        <v>3</v>
      </c>
      <c r="G188" s="115">
        <f>SUM(G4:G129)</f>
        <v>86</v>
      </c>
      <c r="H188" s="96"/>
      <c r="I188" s="136"/>
    </row>
    <row r="189" spans="1:13">
      <c r="A189" s="96" t="s">
        <v>270</v>
      </c>
      <c r="C189" s="75">
        <f>C188/H189</f>
        <v>0.54054054054054057</v>
      </c>
      <c r="D189" s="75">
        <f>D188/H189</f>
        <v>1.3513513513513513</v>
      </c>
      <c r="E189" s="75">
        <f>E188/H189</f>
        <v>0.35135135135135137</v>
      </c>
      <c r="F189" s="114">
        <f>F188/H189</f>
        <v>8.1081081081081086E-2</v>
      </c>
      <c r="G189" s="137">
        <f>G188/H189</f>
        <v>2.3243243243243241</v>
      </c>
      <c r="H189" s="138">
        <v>37</v>
      </c>
      <c r="I189" s="136"/>
    </row>
    <row r="190" spans="1:13">
      <c r="A190" s="96" t="s">
        <v>395</v>
      </c>
      <c r="C190" s="72">
        <f>SUM(C134,C138,C144,C150,C155,C165,C171,C179,C184)</f>
        <v>8</v>
      </c>
      <c r="D190" s="72">
        <f t="shared" ref="D190:F190" si="4">SUM(D134,D138,D144,D150,D155,D165,D171,D179,D184)</f>
        <v>18</v>
      </c>
      <c r="E190" s="72">
        <f t="shared" si="4"/>
        <v>19</v>
      </c>
      <c r="F190" s="104">
        <f t="shared" si="4"/>
        <v>1</v>
      </c>
      <c r="G190" s="115">
        <f>SUM(G130:G184)</f>
        <v>46</v>
      </c>
      <c r="H190" s="96"/>
      <c r="I190" s="136"/>
    </row>
    <row r="191" spans="1:13">
      <c r="A191" s="96" t="s">
        <v>270</v>
      </c>
      <c r="C191" s="75">
        <f>C190/H191</f>
        <v>0.88888888888888884</v>
      </c>
      <c r="D191" s="75">
        <f>D190/H191</f>
        <v>2</v>
      </c>
      <c r="E191" s="75">
        <f>E190/H191</f>
        <v>2.1111111111111112</v>
      </c>
      <c r="F191" s="114">
        <f>F190/H191</f>
        <v>0.1111111111111111</v>
      </c>
      <c r="G191" s="137">
        <f>G190/H191</f>
        <v>5.1111111111111107</v>
      </c>
      <c r="H191" s="138">
        <v>9</v>
      </c>
      <c r="I191" s="136"/>
    </row>
    <row r="192" spans="1:13">
      <c r="C192" s="115">
        <f>C185</f>
        <v>28</v>
      </c>
      <c r="D192" s="115">
        <f t="shared" ref="D192:F192" si="5">D185</f>
        <v>68</v>
      </c>
      <c r="E192" s="115">
        <f t="shared" si="5"/>
        <v>32</v>
      </c>
      <c r="F192" s="103">
        <f t="shared" si="5"/>
        <v>4</v>
      </c>
      <c r="G192" s="115">
        <f>SUM(G4:G184)</f>
        <v>132</v>
      </c>
      <c r="H192" s="7"/>
      <c r="I192" s="139"/>
      <c r="L192" s="5"/>
    </row>
    <row r="193" spans="2:13">
      <c r="H193" s="7"/>
      <c r="I193" s="139"/>
      <c r="L193" s="5"/>
    </row>
    <row r="194" spans="2:13">
      <c r="B194" s="96" t="s">
        <v>551</v>
      </c>
      <c r="D194" s="115" t="s">
        <v>533</v>
      </c>
      <c r="E194" s="115" t="s">
        <v>534</v>
      </c>
      <c r="F194" s="103"/>
      <c r="J194" s="73"/>
      <c r="K194" s="74"/>
      <c r="L194" s="5"/>
    </row>
    <row r="195" spans="2:13">
      <c r="B195" s="96" t="s">
        <v>515</v>
      </c>
      <c r="D195" s="115">
        <v>20</v>
      </c>
      <c r="E195" s="115">
        <f>D195/132</f>
        <v>0.15151515151515152</v>
      </c>
      <c r="F195" s="103"/>
      <c r="J195" s="73"/>
      <c r="K195" s="74"/>
      <c r="L195" s="5"/>
    </row>
    <row r="196" spans="2:13">
      <c r="B196" s="96" t="s">
        <v>516</v>
      </c>
      <c r="D196" s="115">
        <v>15</v>
      </c>
      <c r="E196" s="115">
        <f t="shared" ref="E196:E201" si="6">D196/132</f>
        <v>0.11363636363636363</v>
      </c>
      <c r="F196" s="103"/>
      <c r="J196" s="73"/>
      <c r="K196" s="74"/>
      <c r="L196" s="5"/>
    </row>
    <row r="197" spans="2:13">
      <c r="B197" s="96" t="s">
        <v>511</v>
      </c>
      <c r="D197" s="115">
        <v>48</v>
      </c>
      <c r="E197" s="115">
        <f>D197/132</f>
        <v>0.36363636363636365</v>
      </c>
      <c r="F197" s="103"/>
      <c r="J197" s="73"/>
      <c r="K197" s="74"/>
      <c r="L197" s="5"/>
    </row>
    <row r="198" spans="2:13">
      <c r="B198" s="97" t="s">
        <v>512</v>
      </c>
      <c r="D198" s="115">
        <v>69</v>
      </c>
      <c r="E198" s="115">
        <f t="shared" si="6"/>
        <v>0.52272727272727271</v>
      </c>
      <c r="F198" s="103"/>
      <c r="J198" s="73"/>
      <c r="K198" s="74"/>
    </row>
    <row r="199" spans="2:13">
      <c r="B199" s="97" t="s">
        <v>520</v>
      </c>
      <c r="D199" s="119">
        <v>1</v>
      </c>
      <c r="E199" s="115">
        <f t="shared" si="6"/>
        <v>7.575757575757576E-3</v>
      </c>
      <c r="F199" s="103"/>
      <c r="J199" s="73"/>
      <c r="K199" s="74"/>
    </row>
    <row r="200" spans="2:13">
      <c r="B200" s="97" t="s">
        <v>513</v>
      </c>
      <c r="D200" s="119">
        <v>11</v>
      </c>
      <c r="E200" s="115">
        <f t="shared" si="6"/>
        <v>8.3333333333333329E-2</v>
      </c>
      <c r="F200" s="103"/>
      <c r="J200" s="73"/>
      <c r="K200" s="74"/>
    </row>
    <row r="201" spans="2:13">
      <c r="B201" s="97" t="s">
        <v>514</v>
      </c>
      <c r="D201" s="115">
        <v>94</v>
      </c>
      <c r="E201" s="115">
        <f t="shared" si="6"/>
        <v>0.71212121212121215</v>
      </c>
      <c r="F201" s="103"/>
      <c r="G201" s="119"/>
      <c r="H201" s="119"/>
      <c r="I201" s="119"/>
      <c r="J201" s="73"/>
      <c r="K201" s="74"/>
    </row>
    <row r="202" spans="2:13">
      <c r="B202" s="96" t="s">
        <v>526</v>
      </c>
      <c r="D202" s="119">
        <v>23</v>
      </c>
      <c r="E202" s="115">
        <f>D202/132</f>
        <v>0.17424242424242425</v>
      </c>
    </row>
    <row r="204" spans="2:13">
      <c r="J204" s="10"/>
      <c r="K204" s="14"/>
      <c r="L204" s="6"/>
    </row>
    <row r="205" spans="2:13">
      <c r="B205" s="96" t="s">
        <v>557</v>
      </c>
      <c r="D205" s="103" t="s">
        <v>558</v>
      </c>
      <c r="E205" s="103" t="s">
        <v>559</v>
      </c>
      <c r="F205" s="104" t="s">
        <v>560</v>
      </c>
      <c r="G205" s="105" t="s">
        <v>561</v>
      </c>
      <c r="H205" s="105" t="s">
        <v>562</v>
      </c>
      <c r="I205" s="105" t="s">
        <v>391</v>
      </c>
      <c r="M205" s="52"/>
    </row>
    <row r="206" spans="2:13">
      <c r="B206" s="96" t="s">
        <v>552</v>
      </c>
      <c r="D206" s="115">
        <v>7</v>
      </c>
      <c r="E206" s="103">
        <v>10</v>
      </c>
      <c r="F206" s="104">
        <v>10</v>
      </c>
      <c r="G206" s="103">
        <v>5</v>
      </c>
      <c r="H206" s="115">
        <v>7</v>
      </c>
      <c r="I206" s="105">
        <v>39</v>
      </c>
      <c r="K206" s="15"/>
      <c r="L206" s="5"/>
    </row>
    <row r="207" spans="2:13">
      <c r="B207" s="96" t="s">
        <v>553</v>
      </c>
      <c r="D207" s="103">
        <v>8</v>
      </c>
      <c r="E207" s="103">
        <v>16</v>
      </c>
      <c r="F207" s="104">
        <v>12</v>
      </c>
      <c r="G207" s="105">
        <v>15</v>
      </c>
      <c r="H207" s="105">
        <v>23</v>
      </c>
      <c r="I207" s="105">
        <v>74</v>
      </c>
      <c r="K207" s="15"/>
      <c r="L207" s="5"/>
    </row>
    <row r="208" spans="2:13">
      <c r="B208" s="96" t="s">
        <v>554</v>
      </c>
      <c r="D208" s="105">
        <v>2</v>
      </c>
      <c r="E208" s="103">
        <v>5</v>
      </c>
      <c r="F208" s="104">
        <v>7</v>
      </c>
      <c r="G208" s="105">
        <v>8</v>
      </c>
      <c r="H208" s="105">
        <v>4</v>
      </c>
      <c r="I208" s="105">
        <v>26</v>
      </c>
      <c r="K208" s="15"/>
      <c r="L208" s="5"/>
    </row>
    <row r="209" spans="2:12">
      <c r="B209" s="96" t="s">
        <v>555</v>
      </c>
      <c r="D209" s="105">
        <v>2</v>
      </c>
      <c r="E209" s="105">
        <v>5</v>
      </c>
      <c r="F209" s="104">
        <v>5</v>
      </c>
      <c r="G209" s="105">
        <v>7</v>
      </c>
      <c r="H209" s="105">
        <v>4</v>
      </c>
      <c r="I209" s="105">
        <v>23</v>
      </c>
      <c r="K209" s="15"/>
      <c r="L209" s="5"/>
    </row>
    <row r="210" spans="2:12">
      <c r="B210" s="96" t="s">
        <v>556</v>
      </c>
      <c r="D210" s="105">
        <v>5</v>
      </c>
      <c r="E210" s="105">
        <v>4</v>
      </c>
      <c r="F210" s="104">
        <v>8</v>
      </c>
      <c r="G210" s="105">
        <v>8</v>
      </c>
      <c r="H210" s="105">
        <v>8</v>
      </c>
      <c r="I210" s="105">
        <v>33</v>
      </c>
      <c r="K210" s="15"/>
      <c r="L210" s="5"/>
    </row>
    <row r="211" spans="2:12">
      <c r="C211" s="105"/>
      <c r="F211" s="115"/>
      <c r="G211" s="104"/>
      <c r="K211" s="15"/>
      <c r="L211" s="5"/>
    </row>
    <row r="212" spans="2:12">
      <c r="E212" s="105"/>
      <c r="K212" s="15"/>
      <c r="L212" s="5"/>
    </row>
    <row r="215" spans="2:12">
      <c r="C215" s="119"/>
    </row>
    <row r="216" spans="2:12">
      <c r="C216" s="119"/>
    </row>
    <row r="221" spans="2:12">
      <c r="B221" s="97"/>
    </row>
    <row r="223" spans="2:12">
      <c r="B223" s="97"/>
    </row>
    <row r="224" spans="2:12">
      <c r="B224" s="97"/>
    </row>
    <row r="225" spans="2:2">
      <c r="B225" s="97"/>
    </row>
    <row r="226" spans="2:2">
      <c r="B226" s="97"/>
    </row>
  </sheetData>
  <phoneticPr fontId="6" type="noConversion"/>
  <pageMargins left="0.75" right="0.75" top="1" bottom="1" header="0.5" footer="0.5"/>
  <pageSetup paperSize="0" orientation="portrait" horizontalDpi="4294967292" verticalDpi="4294967292"/>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ublished="0"/>
  <dimension ref="A1:A73"/>
  <sheetViews>
    <sheetView workbookViewId="0">
      <selection activeCell="E18" sqref="E18"/>
    </sheetView>
  </sheetViews>
  <sheetFormatPr baseColWidth="10" defaultRowHeight="13"/>
  <sheetData>
    <row r="1" spans="1:1">
      <c r="A1" t="s">
        <v>10</v>
      </c>
    </row>
    <row r="2" spans="1:1">
      <c r="A2" t="s">
        <v>34</v>
      </c>
    </row>
    <row r="3" spans="1:1">
      <c r="A3" t="s">
        <v>70</v>
      </c>
    </row>
    <row r="4" spans="1:1">
      <c r="A4" t="s">
        <v>71</v>
      </c>
    </row>
    <row r="5" spans="1:1">
      <c r="A5" t="s">
        <v>35</v>
      </c>
    </row>
    <row r="6" spans="1:1">
      <c r="A6" t="s">
        <v>36</v>
      </c>
    </row>
    <row r="7" spans="1:1">
      <c r="A7" t="s">
        <v>64</v>
      </c>
    </row>
    <row r="8" spans="1:1">
      <c r="A8" t="s">
        <v>65</v>
      </c>
    </row>
    <row r="9" spans="1:1">
      <c r="A9" t="s">
        <v>37</v>
      </c>
    </row>
    <row r="10" spans="1:1">
      <c r="A10" t="s">
        <v>544</v>
      </c>
    </row>
    <row r="11" spans="1:1">
      <c r="A11" t="s">
        <v>66</v>
      </c>
    </row>
    <row r="12" spans="1:1">
      <c r="A12" t="s">
        <v>67</v>
      </c>
    </row>
    <row r="13" spans="1:1">
      <c r="A13" t="s">
        <v>38</v>
      </c>
    </row>
    <row r="14" spans="1:1">
      <c r="A14" t="s">
        <v>68</v>
      </c>
    </row>
    <row r="15" spans="1:1">
      <c r="A15" t="s">
        <v>39</v>
      </c>
    </row>
    <row r="16" spans="1:1">
      <c r="A16" t="s">
        <v>23</v>
      </c>
    </row>
    <row r="17" spans="1:1">
      <c r="A17" t="s">
        <v>24</v>
      </c>
    </row>
    <row r="18" spans="1:1">
      <c r="A18" t="s">
        <v>60</v>
      </c>
    </row>
    <row r="19" spans="1:1">
      <c r="A19" t="s">
        <v>61</v>
      </c>
    </row>
    <row r="20" spans="1:1">
      <c r="A20" t="s">
        <v>62</v>
      </c>
    </row>
    <row r="21" spans="1:1">
      <c r="A21" t="s">
        <v>25</v>
      </c>
    </row>
    <row r="22" spans="1:1">
      <c r="A22" t="s">
        <v>26</v>
      </c>
    </row>
    <row r="23" spans="1:1">
      <c r="A23" t="s">
        <v>27</v>
      </c>
    </row>
    <row r="24" spans="1:1">
      <c r="A24" t="s">
        <v>28</v>
      </c>
    </row>
    <row r="25" spans="1:1">
      <c r="A25" t="s">
        <v>29</v>
      </c>
    </row>
    <row r="26" spans="1:1">
      <c r="A26" t="s">
        <v>63</v>
      </c>
    </row>
    <row r="27" spans="1:1">
      <c r="A27" t="s">
        <v>543</v>
      </c>
    </row>
    <row r="28" spans="1:1">
      <c r="A28" t="s">
        <v>30</v>
      </c>
    </row>
    <row r="29" spans="1:1">
      <c r="A29" t="s">
        <v>31</v>
      </c>
    </row>
    <row r="30" spans="1:1">
      <c r="A30" t="s">
        <v>57</v>
      </c>
    </row>
    <row r="31" spans="1:1">
      <c r="A31" t="s">
        <v>58</v>
      </c>
    </row>
    <row r="32" spans="1:1">
      <c r="A32" t="s">
        <v>12</v>
      </c>
    </row>
    <row r="33" spans="1:1">
      <c r="A33" t="s">
        <v>13</v>
      </c>
    </row>
    <row r="34" spans="1:1">
      <c r="A34" t="s">
        <v>59</v>
      </c>
    </row>
    <row r="35" spans="1:1">
      <c r="A35" t="s">
        <v>14</v>
      </c>
    </row>
    <row r="36" spans="1:1">
      <c r="A36" t="s">
        <v>15</v>
      </c>
    </row>
    <row r="37" spans="1:1">
      <c r="A37" t="s">
        <v>52</v>
      </c>
    </row>
    <row r="38" spans="1:1">
      <c r="A38" t="s">
        <v>16</v>
      </c>
    </row>
    <row r="39" spans="1:1">
      <c r="A39" t="s">
        <v>53</v>
      </c>
    </row>
    <row r="40" spans="1:1">
      <c r="A40" t="s">
        <v>17</v>
      </c>
    </row>
    <row r="41" spans="1:1">
      <c r="A41" t="s">
        <v>54</v>
      </c>
    </row>
    <row r="42" spans="1:1">
      <c r="A42" t="s">
        <v>545</v>
      </c>
    </row>
    <row r="43" spans="1:1">
      <c r="A43" t="s">
        <v>18</v>
      </c>
    </row>
    <row r="44" spans="1:1">
      <c r="A44" t="s">
        <v>19</v>
      </c>
    </row>
    <row r="45" spans="1:1">
      <c r="A45" t="s">
        <v>55</v>
      </c>
    </row>
    <row r="46" spans="1:1">
      <c r="A46" t="s">
        <v>20</v>
      </c>
    </row>
    <row r="47" spans="1:1">
      <c r="A47" t="s">
        <v>56</v>
      </c>
    </row>
    <row r="48" spans="1:1">
      <c r="A48" t="s">
        <v>21</v>
      </c>
    </row>
    <row r="49" spans="1:1">
      <c r="A49" t="s">
        <v>22</v>
      </c>
    </row>
    <row r="50" spans="1:1">
      <c r="A50" t="s">
        <v>0</v>
      </c>
    </row>
    <row r="51" spans="1:1">
      <c r="A51" t="s">
        <v>1</v>
      </c>
    </row>
    <row r="52" spans="1:1">
      <c r="A52" t="s">
        <v>45</v>
      </c>
    </row>
    <row r="53" spans="1:1">
      <c r="A53" t="s">
        <v>46</v>
      </c>
    </row>
    <row r="54" spans="1:1">
      <c r="A54" t="s">
        <v>47</v>
      </c>
    </row>
    <row r="55" spans="1:1">
      <c r="A55" t="s">
        <v>48</v>
      </c>
    </row>
    <row r="56" spans="1:1">
      <c r="A56" t="s">
        <v>49</v>
      </c>
    </row>
    <row r="57" spans="1:1">
      <c r="A57" t="s">
        <v>50</v>
      </c>
    </row>
    <row r="58" spans="1:1">
      <c r="A58" t="s">
        <v>51</v>
      </c>
    </row>
    <row r="59" spans="1:1">
      <c r="A59" t="s">
        <v>2</v>
      </c>
    </row>
    <row r="60" spans="1:1">
      <c r="A60" t="s">
        <v>3</v>
      </c>
    </row>
    <row r="61" spans="1:1">
      <c r="A61" t="s">
        <v>4</v>
      </c>
    </row>
    <row r="62" spans="1:1">
      <c r="A62" t="s">
        <v>40</v>
      </c>
    </row>
    <row r="63" spans="1:1">
      <c r="A63" t="s">
        <v>41</v>
      </c>
    </row>
    <row r="64" spans="1:1">
      <c r="A64" t="s">
        <v>5</v>
      </c>
    </row>
    <row r="65" spans="1:1">
      <c r="A65" t="s">
        <v>6</v>
      </c>
    </row>
    <row r="66" spans="1:1">
      <c r="A66" t="s">
        <v>7</v>
      </c>
    </row>
    <row r="67" spans="1:1">
      <c r="A67" t="s">
        <v>42</v>
      </c>
    </row>
    <row r="68" spans="1:1">
      <c r="A68" t="s">
        <v>43</v>
      </c>
    </row>
    <row r="69" spans="1:1">
      <c r="A69" t="s">
        <v>44</v>
      </c>
    </row>
    <row r="70" spans="1:1">
      <c r="A70" t="s">
        <v>32</v>
      </c>
    </row>
    <row r="71" spans="1:1">
      <c r="A71" t="s">
        <v>33</v>
      </c>
    </row>
    <row r="72" spans="1:1">
      <c r="A72" t="s">
        <v>8</v>
      </c>
    </row>
    <row r="73" spans="1:1">
      <c r="A73" t="s">
        <v>9</v>
      </c>
    </row>
  </sheetData>
  <phoneticPr fontId="6" type="noConversion"/>
  <pageMargins left="0.75" right="0.75" top="1" bottom="1" header="0.5" footer="0.5"/>
  <pageSetup paperSize="0" orientation="portrait" horizontalDpi="4294967292" verticalDpi="4294967292"/>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ublished="0"/>
  <dimension ref="A1:H152"/>
  <sheetViews>
    <sheetView workbookViewId="0">
      <selection activeCell="C135" sqref="C135"/>
    </sheetView>
  </sheetViews>
  <sheetFormatPr baseColWidth="10" defaultRowHeight="13"/>
  <cols>
    <col min="1" max="1" width="15.5" customWidth="1"/>
    <col min="2" max="2" width="7.5" customWidth="1"/>
    <col min="3" max="4" width="5.83203125" customWidth="1"/>
    <col min="5" max="5" width="5.6640625" customWidth="1"/>
    <col min="6" max="6" width="43.33203125" customWidth="1"/>
  </cols>
  <sheetData>
    <row r="1" spans="1:8" ht="14">
      <c r="A1" s="2"/>
      <c r="B1" s="2"/>
      <c r="C1" s="2" t="s">
        <v>249</v>
      </c>
      <c r="D1" s="2"/>
      <c r="E1" s="2"/>
      <c r="F1" s="2"/>
      <c r="G1" s="1"/>
      <c r="H1" s="1"/>
    </row>
    <row r="2" spans="1:8" ht="56">
      <c r="A2" s="2" t="s">
        <v>250</v>
      </c>
      <c r="B2" s="7" t="s">
        <v>251</v>
      </c>
      <c r="C2" s="7" t="s">
        <v>252</v>
      </c>
      <c r="D2" s="7" t="s">
        <v>253</v>
      </c>
      <c r="E2" s="7" t="s">
        <v>78</v>
      </c>
      <c r="F2" s="7" t="s">
        <v>255</v>
      </c>
      <c r="G2" s="1"/>
      <c r="H2" s="1"/>
    </row>
    <row r="3" spans="1:8" ht="56">
      <c r="A3" s="77">
        <v>1970</v>
      </c>
      <c r="B3" s="18"/>
      <c r="C3" s="21">
        <v>1</v>
      </c>
      <c r="D3" s="18"/>
      <c r="E3" s="18"/>
      <c r="F3" s="19" t="s">
        <v>256</v>
      </c>
      <c r="G3" s="1"/>
      <c r="H3" s="1"/>
    </row>
    <row r="4" spans="1:8" ht="42">
      <c r="A4" s="77">
        <v>1971</v>
      </c>
      <c r="B4" s="21">
        <v>1</v>
      </c>
      <c r="C4" s="18"/>
      <c r="D4" s="18"/>
      <c r="E4" s="18"/>
      <c r="F4" s="19" t="s">
        <v>257</v>
      </c>
      <c r="G4" s="1"/>
      <c r="H4" s="1"/>
    </row>
    <row r="5" spans="1:8" ht="56">
      <c r="A5" s="18"/>
      <c r="B5" s="18"/>
      <c r="C5" s="21">
        <v>1</v>
      </c>
      <c r="D5" s="21"/>
      <c r="E5" s="18"/>
      <c r="F5" s="19" t="s">
        <v>258</v>
      </c>
      <c r="G5" s="1"/>
      <c r="H5" s="1"/>
    </row>
    <row r="6" spans="1:8" ht="14">
      <c r="A6" s="77">
        <v>1972</v>
      </c>
      <c r="B6" s="18"/>
      <c r="C6" s="18"/>
      <c r="D6" s="18"/>
      <c r="E6" s="18"/>
      <c r="F6" s="19" t="s">
        <v>335</v>
      </c>
      <c r="G6" s="1"/>
      <c r="H6" s="1"/>
    </row>
    <row r="7" spans="1:8" ht="42">
      <c r="A7" s="77">
        <v>1973</v>
      </c>
      <c r="B7" s="21">
        <v>1</v>
      </c>
      <c r="C7" s="18"/>
      <c r="D7" s="18"/>
      <c r="E7" s="18"/>
      <c r="F7" s="19" t="s">
        <v>123</v>
      </c>
      <c r="G7" s="1"/>
      <c r="H7" s="1"/>
    </row>
    <row r="8" spans="1:8" ht="42">
      <c r="A8" s="18"/>
      <c r="B8" s="18"/>
      <c r="C8" s="21">
        <v>1</v>
      </c>
      <c r="D8" s="18"/>
      <c r="E8" s="18"/>
      <c r="F8" s="19" t="s">
        <v>260</v>
      </c>
      <c r="G8" s="1"/>
      <c r="H8" s="1"/>
    </row>
    <row r="9" spans="1:8" ht="28">
      <c r="A9" s="77">
        <v>1974</v>
      </c>
      <c r="B9" s="18"/>
      <c r="C9" s="18"/>
      <c r="D9" s="21"/>
      <c r="E9" s="18">
        <v>1</v>
      </c>
      <c r="F9" s="19" t="s">
        <v>261</v>
      </c>
      <c r="G9" s="1"/>
      <c r="H9" s="1"/>
    </row>
    <row r="10" spans="1:8" ht="28">
      <c r="A10" s="18"/>
      <c r="B10" s="18"/>
      <c r="C10" s="21">
        <v>1</v>
      </c>
      <c r="D10" s="18"/>
      <c r="E10" s="18"/>
      <c r="F10" s="19" t="s">
        <v>262</v>
      </c>
      <c r="G10" s="1"/>
      <c r="H10" s="1"/>
    </row>
    <row r="11" spans="1:8" ht="28">
      <c r="A11" s="18"/>
      <c r="B11" s="21">
        <v>1</v>
      </c>
      <c r="C11" s="18"/>
      <c r="D11" s="18"/>
      <c r="E11" s="18"/>
      <c r="F11" s="19" t="s">
        <v>263</v>
      </c>
      <c r="G11" s="1"/>
      <c r="H11" s="1"/>
    </row>
    <row r="12" spans="1:8" ht="42">
      <c r="A12" s="18"/>
      <c r="B12" s="18"/>
      <c r="C12" s="21">
        <v>1</v>
      </c>
      <c r="D12" s="21"/>
      <c r="E12" s="18"/>
      <c r="F12" s="19" t="s">
        <v>235</v>
      </c>
      <c r="G12" s="1"/>
      <c r="H12" s="1"/>
    </row>
    <row r="13" spans="1:8" ht="56">
      <c r="A13" s="77">
        <v>1975</v>
      </c>
      <c r="B13" s="18"/>
      <c r="C13" s="21">
        <v>1</v>
      </c>
      <c r="D13" s="18"/>
      <c r="E13" s="18"/>
      <c r="F13" s="19" t="s">
        <v>236</v>
      </c>
      <c r="G13" s="1"/>
      <c r="H13" s="1"/>
    </row>
    <row r="14" spans="1:8" ht="42">
      <c r="A14" s="18"/>
      <c r="B14" s="21">
        <v>1</v>
      </c>
      <c r="C14" s="18"/>
      <c r="D14" s="18"/>
      <c r="E14" s="18"/>
      <c r="F14" s="19" t="s">
        <v>237</v>
      </c>
      <c r="G14" s="1"/>
      <c r="H14" s="1"/>
    </row>
    <row r="15" spans="1:8" ht="112">
      <c r="A15" s="18"/>
      <c r="B15" s="21">
        <v>1</v>
      </c>
      <c r="C15" s="18"/>
      <c r="D15" s="18"/>
      <c r="E15" s="18"/>
      <c r="F15" s="19" t="s">
        <v>124</v>
      </c>
      <c r="G15" s="1"/>
      <c r="H15" s="1"/>
    </row>
    <row r="16" spans="1:8" ht="14">
      <c r="A16" s="77">
        <v>1976</v>
      </c>
      <c r="B16" s="18"/>
      <c r="C16" s="18"/>
      <c r="D16" s="18"/>
      <c r="E16" s="18"/>
      <c r="F16" s="19" t="s">
        <v>335</v>
      </c>
      <c r="G16" s="1"/>
      <c r="H16" s="1"/>
    </row>
    <row r="17" spans="1:8" ht="42">
      <c r="A17" s="77">
        <v>1977</v>
      </c>
      <c r="B17" s="18"/>
      <c r="C17" s="21">
        <v>1</v>
      </c>
      <c r="D17" s="21"/>
      <c r="E17" s="18"/>
      <c r="F17" s="19" t="s">
        <v>239</v>
      </c>
      <c r="G17" s="1"/>
      <c r="H17" s="1"/>
    </row>
    <row r="18" spans="1:8" ht="56">
      <c r="A18" s="18"/>
      <c r="B18" s="18"/>
      <c r="C18" s="21">
        <v>1</v>
      </c>
      <c r="D18" s="18"/>
      <c r="E18" s="18"/>
      <c r="F18" s="19" t="s">
        <v>240</v>
      </c>
      <c r="G18" s="1"/>
      <c r="H18" s="1"/>
    </row>
    <row r="19" spans="1:8" ht="98">
      <c r="A19" s="77">
        <v>1978</v>
      </c>
      <c r="B19" s="18"/>
      <c r="C19" s="21">
        <v>1</v>
      </c>
      <c r="D19" s="18"/>
      <c r="E19" s="18"/>
      <c r="F19" s="19" t="s">
        <v>241</v>
      </c>
      <c r="G19" s="1"/>
      <c r="H19" s="1"/>
    </row>
    <row r="20" spans="1:8" ht="42">
      <c r="A20" s="77">
        <v>1979</v>
      </c>
      <c r="B20" s="21">
        <v>1</v>
      </c>
      <c r="C20" s="18"/>
      <c r="D20" s="18"/>
      <c r="E20" s="18"/>
      <c r="F20" s="19" t="s">
        <v>242</v>
      </c>
      <c r="G20" s="1"/>
      <c r="H20" s="1"/>
    </row>
    <row r="21" spans="1:8" ht="84">
      <c r="A21" s="18"/>
      <c r="B21" s="18"/>
      <c r="C21" s="18"/>
      <c r="D21" s="21">
        <v>1</v>
      </c>
      <c r="E21" s="18"/>
      <c r="F21" s="19" t="s">
        <v>243</v>
      </c>
      <c r="G21" s="1"/>
      <c r="H21" s="1"/>
    </row>
    <row r="22" spans="1:8" ht="84">
      <c r="A22" s="18"/>
      <c r="B22" s="18"/>
      <c r="C22" s="21">
        <v>1</v>
      </c>
      <c r="D22" s="21"/>
      <c r="E22" s="18"/>
      <c r="F22" s="19" t="s">
        <v>244</v>
      </c>
      <c r="G22" s="1"/>
      <c r="H22" s="1"/>
    </row>
    <row r="23" spans="1:8" ht="42">
      <c r="A23" s="77">
        <v>1980</v>
      </c>
      <c r="B23" s="18"/>
      <c r="C23" s="21">
        <v>1</v>
      </c>
      <c r="D23" s="18"/>
      <c r="E23" s="18"/>
      <c r="F23" s="19" t="s">
        <v>226</v>
      </c>
      <c r="G23" s="1"/>
      <c r="H23" s="1"/>
    </row>
    <row r="24" spans="1:8" ht="42">
      <c r="A24" s="18"/>
      <c r="B24" s="18"/>
      <c r="C24" s="21">
        <v>1</v>
      </c>
      <c r="D24" s="18"/>
      <c r="E24" s="18"/>
      <c r="F24" s="7" t="s">
        <v>125</v>
      </c>
      <c r="G24" s="1"/>
      <c r="H24" s="1"/>
    </row>
    <row r="25" spans="1:8" ht="154">
      <c r="A25" s="18"/>
      <c r="B25" s="18"/>
      <c r="C25" s="18"/>
      <c r="D25" s="21">
        <v>1</v>
      </c>
      <c r="E25" s="18"/>
      <c r="F25" s="19" t="s">
        <v>228</v>
      </c>
      <c r="G25" s="1"/>
      <c r="H25" s="1"/>
    </row>
    <row r="26" spans="1:8" ht="14">
      <c r="A26" s="77">
        <v>1981</v>
      </c>
      <c r="B26" s="18"/>
      <c r="C26" s="18"/>
      <c r="D26" s="18"/>
      <c r="E26" s="18"/>
      <c r="F26" s="19" t="s">
        <v>335</v>
      </c>
      <c r="G26" s="1"/>
      <c r="H26" s="1"/>
    </row>
    <row r="27" spans="1:8" ht="98">
      <c r="A27" s="77">
        <v>1982</v>
      </c>
      <c r="B27" s="18"/>
      <c r="C27" s="21">
        <v>1</v>
      </c>
      <c r="D27" s="18"/>
      <c r="E27" s="18"/>
      <c r="F27" s="19" t="s">
        <v>126</v>
      </c>
      <c r="G27" s="1"/>
      <c r="H27" s="1"/>
    </row>
    <row r="28" spans="1:8" ht="42">
      <c r="A28" s="18"/>
      <c r="B28" s="18"/>
      <c r="C28" s="21">
        <v>1</v>
      </c>
      <c r="D28" s="18"/>
      <c r="E28" s="18"/>
      <c r="F28" s="19" t="s">
        <v>230</v>
      </c>
      <c r="G28" s="1"/>
      <c r="H28" s="1"/>
    </row>
    <row r="29" spans="1:8" ht="84">
      <c r="A29" s="77">
        <v>1983</v>
      </c>
      <c r="B29" s="18"/>
      <c r="C29" s="21">
        <v>1</v>
      </c>
      <c r="D29" s="18"/>
      <c r="E29" s="18"/>
      <c r="F29" s="19" t="s">
        <v>231</v>
      </c>
      <c r="G29" s="1"/>
      <c r="H29" s="1"/>
    </row>
    <row r="30" spans="1:8" ht="56">
      <c r="A30" s="18"/>
      <c r="B30" s="21">
        <v>1</v>
      </c>
      <c r="C30" s="18"/>
      <c r="D30" s="18"/>
      <c r="E30" s="18"/>
      <c r="F30" s="19" t="s">
        <v>232</v>
      </c>
      <c r="G30" s="1"/>
      <c r="H30" s="1"/>
    </row>
    <row r="31" spans="1:8" ht="56">
      <c r="A31" s="18"/>
      <c r="B31" s="18"/>
      <c r="C31" s="21">
        <v>1</v>
      </c>
      <c r="D31" s="18"/>
      <c r="E31" s="18"/>
      <c r="F31" s="19" t="s">
        <v>233</v>
      </c>
      <c r="G31" s="1"/>
      <c r="H31" s="1"/>
    </row>
    <row r="32" spans="1:8" ht="42">
      <c r="A32" s="77">
        <v>1984</v>
      </c>
      <c r="B32" s="18"/>
      <c r="C32" s="21">
        <v>1</v>
      </c>
      <c r="D32" s="18"/>
      <c r="E32" s="18"/>
      <c r="F32" s="19" t="s">
        <v>234</v>
      </c>
      <c r="G32" s="1"/>
      <c r="H32" s="1"/>
    </row>
    <row r="33" spans="1:8" ht="84">
      <c r="A33" s="18"/>
      <c r="B33" s="18"/>
      <c r="C33" s="21">
        <v>1</v>
      </c>
      <c r="D33" s="18"/>
      <c r="E33" s="18"/>
      <c r="F33" s="19" t="s">
        <v>221</v>
      </c>
      <c r="G33" s="1"/>
      <c r="H33" s="1"/>
    </row>
    <row r="34" spans="1:8" ht="70">
      <c r="A34" s="77">
        <v>1985</v>
      </c>
      <c r="B34" s="18"/>
      <c r="C34" s="21">
        <v>1</v>
      </c>
      <c r="D34" s="18"/>
      <c r="E34" s="18"/>
      <c r="F34" s="19" t="s">
        <v>222</v>
      </c>
      <c r="G34" s="1"/>
      <c r="H34" s="1"/>
    </row>
    <row r="35" spans="1:8" ht="42">
      <c r="A35" s="18"/>
      <c r="B35" s="21"/>
      <c r="C35" s="21">
        <v>1</v>
      </c>
      <c r="D35" s="18"/>
      <c r="E35" s="18"/>
      <c r="F35" s="19" t="s">
        <v>223</v>
      </c>
      <c r="G35" s="1"/>
      <c r="H35" s="1"/>
    </row>
    <row r="36" spans="1:8" ht="146">
      <c r="A36" s="77">
        <v>1986</v>
      </c>
      <c r="B36" s="18"/>
      <c r="C36" s="21">
        <v>1</v>
      </c>
      <c r="D36" s="18"/>
      <c r="E36" s="18"/>
      <c r="F36" s="19" t="s">
        <v>108</v>
      </c>
      <c r="G36" s="1"/>
      <c r="H36" s="1"/>
    </row>
    <row r="37" spans="1:8" ht="28">
      <c r="A37" s="77">
        <v>1987</v>
      </c>
      <c r="B37" s="21">
        <v>1</v>
      </c>
      <c r="C37" s="18"/>
      <c r="D37" s="18"/>
      <c r="E37" s="18"/>
      <c r="F37" s="19" t="s">
        <v>225</v>
      </c>
      <c r="G37" s="1"/>
      <c r="H37" s="1"/>
    </row>
    <row r="38" spans="1:8" ht="126">
      <c r="A38" s="18"/>
      <c r="B38" s="18"/>
      <c r="C38" s="21">
        <v>1</v>
      </c>
      <c r="D38" s="18"/>
      <c r="E38" s="18"/>
      <c r="F38" s="19" t="s">
        <v>220</v>
      </c>
      <c r="G38" s="1"/>
      <c r="H38" s="1"/>
    </row>
    <row r="39" spans="1:8" ht="202">
      <c r="A39" s="18"/>
      <c r="B39" s="18"/>
      <c r="C39" s="21">
        <v>1</v>
      </c>
      <c r="D39" s="18"/>
      <c r="E39" s="18"/>
      <c r="F39" s="19" t="s">
        <v>109</v>
      </c>
      <c r="G39" s="1"/>
      <c r="H39" s="1"/>
    </row>
    <row r="40" spans="1:8" ht="56">
      <c r="A40" s="18"/>
      <c r="B40" s="21">
        <v>1</v>
      </c>
      <c r="C40" s="18"/>
      <c r="D40" s="18"/>
      <c r="E40" s="18"/>
      <c r="F40" s="19" t="s">
        <v>217</v>
      </c>
      <c r="G40" s="1"/>
      <c r="H40" s="1"/>
    </row>
    <row r="41" spans="1:8" ht="132">
      <c r="A41" s="77">
        <v>1988</v>
      </c>
      <c r="B41" s="21">
        <v>1</v>
      </c>
      <c r="C41" s="18"/>
      <c r="D41" s="18"/>
      <c r="E41" s="18"/>
      <c r="F41" s="19" t="s">
        <v>101</v>
      </c>
      <c r="G41" s="1"/>
      <c r="H41" s="1"/>
    </row>
    <row r="42" spans="1:8" ht="56">
      <c r="A42" s="18"/>
      <c r="B42" s="18"/>
      <c r="C42" s="21">
        <v>1</v>
      </c>
      <c r="D42" s="18"/>
      <c r="E42" s="18"/>
      <c r="F42" s="19" t="s">
        <v>219</v>
      </c>
      <c r="G42" s="1"/>
      <c r="H42" s="1"/>
    </row>
    <row r="43" spans="1:8" ht="59">
      <c r="A43" s="18"/>
      <c r="B43" s="18"/>
      <c r="C43" s="18"/>
      <c r="D43" s="21"/>
      <c r="E43" s="18">
        <v>1</v>
      </c>
      <c r="F43" s="19" t="s">
        <v>102</v>
      </c>
      <c r="G43" s="1"/>
      <c r="H43" s="1"/>
    </row>
    <row r="44" spans="1:8" ht="98">
      <c r="A44" s="18"/>
      <c r="B44" s="21"/>
      <c r="C44" s="21">
        <v>1</v>
      </c>
      <c r="D44" s="18"/>
      <c r="E44" s="18"/>
      <c r="F44" s="19" t="s">
        <v>211</v>
      </c>
      <c r="G44" s="1"/>
      <c r="H44" s="1"/>
    </row>
    <row r="45" spans="1:8" ht="112">
      <c r="A45" s="18"/>
      <c r="B45" s="18"/>
      <c r="C45" s="21">
        <v>1</v>
      </c>
      <c r="D45" s="18"/>
      <c r="E45" s="18"/>
      <c r="F45" s="19" t="s">
        <v>212</v>
      </c>
      <c r="G45" s="1"/>
      <c r="H45" s="1"/>
    </row>
    <row r="46" spans="1:8" ht="56">
      <c r="A46" s="18"/>
      <c r="B46" s="18"/>
      <c r="C46" s="21"/>
      <c r="D46" s="21">
        <v>1</v>
      </c>
      <c r="E46" s="21"/>
      <c r="F46" s="19" t="s">
        <v>213</v>
      </c>
      <c r="G46" s="1"/>
      <c r="H46" s="1"/>
    </row>
    <row r="47" spans="1:8" ht="56">
      <c r="A47" s="77">
        <v>1989</v>
      </c>
      <c r="B47" s="18"/>
      <c r="C47" s="21">
        <v>1</v>
      </c>
      <c r="D47" s="18"/>
      <c r="E47" s="18"/>
      <c r="F47" s="19" t="s">
        <v>214</v>
      </c>
      <c r="G47" s="1"/>
      <c r="H47" s="1"/>
    </row>
    <row r="48" spans="1:8" ht="98">
      <c r="A48" s="18"/>
      <c r="B48" s="18"/>
      <c r="C48" s="21">
        <v>1</v>
      </c>
      <c r="D48" s="18"/>
      <c r="E48" s="18"/>
      <c r="F48" s="19" t="s">
        <v>215</v>
      </c>
      <c r="G48" s="1"/>
      <c r="H48" s="1"/>
    </row>
    <row r="49" spans="1:8" ht="126">
      <c r="A49" s="18"/>
      <c r="B49" s="18"/>
      <c r="C49" s="21">
        <v>1</v>
      </c>
      <c r="D49" s="18"/>
      <c r="E49" s="18"/>
      <c r="F49" s="19" t="s">
        <v>204</v>
      </c>
      <c r="G49" s="1"/>
      <c r="H49" s="1"/>
    </row>
    <row r="50" spans="1:8" ht="14">
      <c r="A50" s="77">
        <v>1990</v>
      </c>
      <c r="B50" s="21"/>
      <c r="C50" s="18"/>
      <c r="D50" s="18"/>
      <c r="E50" s="18"/>
      <c r="F50" s="19" t="s">
        <v>335</v>
      </c>
      <c r="G50" s="1"/>
      <c r="H50" s="1"/>
    </row>
    <row r="51" spans="1:8" ht="28">
      <c r="A51" s="77">
        <v>1991</v>
      </c>
      <c r="B51" s="21">
        <v>1</v>
      </c>
      <c r="C51" s="18"/>
      <c r="D51" s="18"/>
      <c r="E51" s="18"/>
      <c r="F51" s="19" t="s">
        <v>205</v>
      </c>
      <c r="G51" s="1"/>
      <c r="H51" s="1"/>
    </row>
    <row r="52" spans="1:8" ht="56">
      <c r="A52" s="18"/>
      <c r="B52" s="18"/>
      <c r="C52" s="21"/>
      <c r="D52" s="21">
        <v>1</v>
      </c>
      <c r="E52" s="18"/>
      <c r="F52" s="19" t="s">
        <v>206</v>
      </c>
      <c r="G52" s="1"/>
      <c r="H52" s="1"/>
    </row>
    <row r="53" spans="1:8" ht="70">
      <c r="A53" s="77">
        <v>1992</v>
      </c>
      <c r="B53" s="18"/>
      <c r="C53" s="21">
        <v>1</v>
      </c>
      <c r="D53" s="18"/>
      <c r="E53" s="18"/>
      <c r="F53" s="19" t="s">
        <v>103</v>
      </c>
      <c r="G53" s="1"/>
      <c r="H53" s="1"/>
    </row>
    <row r="54" spans="1:8" ht="56">
      <c r="A54" s="18"/>
      <c r="B54" s="18"/>
      <c r="C54" s="21" t="s">
        <v>80</v>
      </c>
      <c r="D54" s="21">
        <v>1</v>
      </c>
      <c r="E54" s="18"/>
      <c r="F54" s="19" t="s">
        <v>104</v>
      </c>
      <c r="G54" s="1"/>
      <c r="H54" s="1"/>
    </row>
    <row r="55" spans="1:8" ht="56">
      <c r="A55" s="18"/>
      <c r="B55" s="18"/>
      <c r="C55" s="21">
        <v>1</v>
      </c>
      <c r="D55" s="18"/>
      <c r="E55" s="18"/>
      <c r="F55" s="19" t="s">
        <v>209</v>
      </c>
      <c r="G55" s="1"/>
      <c r="H55" s="1"/>
    </row>
    <row r="56" spans="1:8" ht="115">
      <c r="A56" s="18"/>
      <c r="B56" s="18"/>
      <c r="C56" s="21">
        <v>1</v>
      </c>
      <c r="D56" s="18"/>
      <c r="E56" s="18"/>
      <c r="F56" s="19" t="s">
        <v>105</v>
      </c>
      <c r="G56" s="1"/>
      <c r="H56" s="1"/>
    </row>
    <row r="57" spans="1:8" ht="98">
      <c r="A57" s="18"/>
      <c r="B57" s="21">
        <v>1</v>
      </c>
      <c r="C57" s="18"/>
      <c r="D57" s="18"/>
      <c r="E57" s="18"/>
      <c r="F57" s="19" t="s">
        <v>106</v>
      </c>
      <c r="G57" s="1"/>
      <c r="H57" s="1"/>
    </row>
    <row r="58" spans="1:8" ht="140">
      <c r="A58" s="18"/>
      <c r="B58" s="18"/>
      <c r="C58" s="21">
        <v>1</v>
      </c>
      <c r="D58" s="18"/>
      <c r="E58" s="18"/>
      <c r="F58" s="19" t="s">
        <v>197</v>
      </c>
      <c r="G58" s="1"/>
      <c r="H58" s="1"/>
    </row>
    <row r="59" spans="1:8" ht="56">
      <c r="A59" s="77">
        <v>1993</v>
      </c>
      <c r="B59" s="18"/>
      <c r="C59" s="21">
        <v>1</v>
      </c>
      <c r="D59" s="18"/>
      <c r="E59" s="18"/>
      <c r="F59" s="19" t="s">
        <v>198</v>
      </c>
      <c r="G59" s="1"/>
      <c r="H59" s="1"/>
    </row>
    <row r="60" spans="1:8" ht="42">
      <c r="A60" s="18"/>
      <c r="B60" s="18"/>
      <c r="C60" s="21">
        <v>1</v>
      </c>
      <c r="D60" s="18"/>
      <c r="E60" s="18"/>
      <c r="F60" s="19" t="s">
        <v>199</v>
      </c>
      <c r="G60" s="1"/>
      <c r="H60" s="1"/>
    </row>
    <row r="61" spans="1:8" ht="28">
      <c r="A61" s="18"/>
      <c r="B61" s="18"/>
      <c r="C61" s="21">
        <v>1</v>
      </c>
      <c r="D61" s="18"/>
      <c r="E61" s="18"/>
      <c r="F61" s="19" t="s">
        <v>200</v>
      </c>
      <c r="G61" s="1"/>
      <c r="H61" s="1"/>
    </row>
    <row r="62" spans="1:8" ht="28">
      <c r="A62" s="77">
        <v>1994</v>
      </c>
      <c r="B62" s="21">
        <v>1</v>
      </c>
      <c r="C62" s="18"/>
      <c r="D62" s="18"/>
      <c r="E62" s="18"/>
      <c r="F62" s="19" t="s">
        <v>201</v>
      </c>
      <c r="G62" s="1"/>
      <c r="H62" s="1"/>
    </row>
    <row r="63" spans="1:8" ht="56">
      <c r="A63" s="18"/>
      <c r="B63" s="18"/>
      <c r="C63" s="21">
        <v>1</v>
      </c>
      <c r="D63" s="18"/>
      <c r="E63" s="18"/>
      <c r="F63" s="19" t="s">
        <v>202</v>
      </c>
      <c r="G63" s="1"/>
      <c r="H63" s="1"/>
    </row>
    <row r="64" spans="1:8" ht="84">
      <c r="A64" s="18"/>
      <c r="B64" s="18"/>
      <c r="C64" s="18"/>
      <c r="D64" s="21">
        <v>1</v>
      </c>
      <c r="E64" s="18"/>
      <c r="F64" s="19" t="s">
        <v>203</v>
      </c>
      <c r="G64" s="1"/>
      <c r="H64" s="1"/>
    </row>
    <row r="65" spans="1:8" ht="140">
      <c r="A65" s="18"/>
      <c r="B65" s="18"/>
      <c r="C65" s="21">
        <v>1</v>
      </c>
      <c r="D65" s="18"/>
      <c r="E65" s="18"/>
      <c r="F65" s="19" t="s">
        <v>184</v>
      </c>
      <c r="G65" s="1"/>
      <c r="H65" s="1"/>
    </row>
    <row r="66" spans="1:8" ht="28">
      <c r="A66" s="18"/>
      <c r="B66" s="18"/>
      <c r="C66" s="21"/>
      <c r="D66" s="18"/>
      <c r="E66" s="18">
        <v>1</v>
      </c>
      <c r="F66" s="19" t="s">
        <v>185</v>
      </c>
      <c r="G66" s="1"/>
      <c r="H66" s="1"/>
    </row>
    <row r="67" spans="1:8" ht="70">
      <c r="A67" s="77">
        <v>1995</v>
      </c>
      <c r="B67" s="18"/>
      <c r="C67" s="18"/>
      <c r="D67" s="21">
        <v>1</v>
      </c>
      <c r="E67" s="18"/>
      <c r="F67" s="19" t="s">
        <v>186</v>
      </c>
      <c r="G67" s="1"/>
      <c r="H67" s="1"/>
    </row>
    <row r="68" spans="1:8" ht="84">
      <c r="A68" s="77">
        <v>1996</v>
      </c>
      <c r="B68" s="18"/>
      <c r="C68" s="87">
        <v>1</v>
      </c>
      <c r="D68" s="87" t="s">
        <v>79</v>
      </c>
      <c r="E68" s="18"/>
      <c r="F68" s="19" t="s">
        <v>107</v>
      </c>
      <c r="G68" s="1"/>
      <c r="H68" s="1"/>
    </row>
    <row r="69" spans="1:8" ht="56">
      <c r="A69" s="18"/>
      <c r="B69" s="18"/>
      <c r="C69" s="87" t="s">
        <v>337</v>
      </c>
      <c r="D69" s="87">
        <v>1</v>
      </c>
      <c r="E69" s="18"/>
      <c r="F69" s="19" t="s">
        <v>188</v>
      </c>
      <c r="G69" s="1"/>
      <c r="H69" s="1"/>
    </row>
    <row r="70" spans="1:8" ht="42">
      <c r="A70" s="77">
        <v>1997</v>
      </c>
      <c r="B70" s="18"/>
      <c r="C70" s="87">
        <v>1</v>
      </c>
      <c r="D70" s="18"/>
      <c r="E70" s="18"/>
      <c r="F70" s="7" t="s">
        <v>189</v>
      </c>
      <c r="G70" s="1"/>
      <c r="H70" s="1"/>
    </row>
    <row r="71" spans="1:8" ht="42">
      <c r="A71" s="18"/>
      <c r="B71" s="18"/>
      <c r="C71" s="87">
        <v>1</v>
      </c>
      <c r="D71" s="18"/>
      <c r="E71" s="18"/>
      <c r="F71" s="19" t="s">
        <v>190</v>
      </c>
      <c r="G71" s="1"/>
      <c r="H71" s="1"/>
    </row>
    <row r="72" spans="1:8" ht="98">
      <c r="A72" s="18"/>
      <c r="B72" s="18"/>
      <c r="C72" s="87">
        <v>1</v>
      </c>
      <c r="D72" s="87"/>
      <c r="E72" s="18"/>
      <c r="F72" s="19" t="s">
        <v>191</v>
      </c>
      <c r="G72" s="1"/>
      <c r="H72" s="1"/>
    </row>
    <row r="73" spans="1:8" ht="28">
      <c r="A73" s="77">
        <v>1998</v>
      </c>
      <c r="B73" s="18"/>
      <c r="C73" s="21">
        <v>1</v>
      </c>
      <c r="D73" s="18"/>
      <c r="E73" s="18"/>
      <c r="F73" s="19" t="s">
        <v>192</v>
      </c>
      <c r="G73" s="1"/>
      <c r="H73" s="1"/>
    </row>
    <row r="74" spans="1:8" ht="28">
      <c r="A74" s="77">
        <v>1999</v>
      </c>
      <c r="B74" s="21">
        <v>1</v>
      </c>
      <c r="C74" s="18"/>
      <c r="D74" s="18"/>
      <c r="E74" s="18"/>
      <c r="F74" s="19" t="s">
        <v>193</v>
      </c>
      <c r="G74" s="1"/>
      <c r="H74" s="1"/>
    </row>
    <row r="75" spans="1:8" ht="70">
      <c r="A75" s="77">
        <v>2000</v>
      </c>
      <c r="B75" s="18"/>
      <c r="C75" s="18"/>
      <c r="D75" s="21">
        <v>1</v>
      </c>
      <c r="E75" s="18"/>
      <c r="F75" s="19" t="s">
        <v>194</v>
      </c>
      <c r="G75" s="1"/>
      <c r="H75" s="1"/>
    </row>
    <row r="76" spans="1:8" ht="84">
      <c r="A76" s="18"/>
      <c r="B76" s="18"/>
      <c r="C76" s="21">
        <v>1</v>
      </c>
      <c r="D76" s="18"/>
      <c r="E76" s="18"/>
      <c r="F76" s="19" t="s">
        <v>88</v>
      </c>
      <c r="G76" s="1"/>
      <c r="H76" s="1"/>
    </row>
    <row r="77" spans="1:8" ht="42">
      <c r="A77" s="18"/>
      <c r="B77" s="18"/>
      <c r="C77" s="18"/>
      <c r="D77" s="21">
        <v>1</v>
      </c>
      <c r="E77" s="18"/>
      <c r="F77" s="19" t="s">
        <v>174</v>
      </c>
      <c r="G77" s="1"/>
      <c r="H77" s="1"/>
    </row>
    <row r="78" spans="1:8" ht="56">
      <c r="A78" s="77">
        <v>2001</v>
      </c>
      <c r="B78" s="18"/>
      <c r="C78" s="18"/>
      <c r="D78" s="21">
        <v>1</v>
      </c>
      <c r="E78" s="18"/>
      <c r="F78" s="19" t="s">
        <v>175</v>
      </c>
      <c r="G78" s="1"/>
      <c r="H78" s="1"/>
    </row>
    <row r="79" spans="1:8" ht="42">
      <c r="A79" s="18"/>
      <c r="B79" s="18"/>
      <c r="C79" s="21">
        <v>1</v>
      </c>
      <c r="D79" s="18"/>
      <c r="E79" s="18"/>
      <c r="F79" s="19" t="s">
        <v>176</v>
      </c>
      <c r="G79" s="1"/>
      <c r="H79" s="1"/>
    </row>
    <row r="80" spans="1:8" ht="42">
      <c r="A80" s="77">
        <v>2002</v>
      </c>
      <c r="B80" s="18"/>
      <c r="C80" s="21">
        <v>1</v>
      </c>
      <c r="D80" s="18"/>
      <c r="E80" s="18"/>
      <c r="F80" s="19" t="s">
        <v>177</v>
      </c>
      <c r="G80" s="1"/>
      <c r="H80" s="1"/>
    </row>
    <row r="81" spans="1:8" ht="56">
      <c r="A81" s="18"/>
      <c r="B81" s="18"/>
      <c r="C81" s="18"/>
      <c r="D81" s="21">
        <v>1</v>
      </c>
      <c r="E81" s="18"/>
      <c r="F81" s="19" t="s">
        <v>178</v>
      </c>
      <c r="G81" s="1"/>
      <c r="H81" s="1"/>
    </row>
    <row r="82" spans="1:8" ht="56">
      <c r="A82" s="18"/>
      <c r="B82" s="18"/>
      <c r="C82" s="18"/>
      <c r="D82" s="21">
        <v>1</v>
      </c>
      <c r="E82" s="18"/>
      <c r="F82" s="19" t="s">
        <v>179</v>
      </c>
      <c r="G82" s="1"/>
      <c r="H82" s="1"/>
    </row>
    <row r="83" spans="1:8" ht="112">
      <c r="A83" s="77">
        <v>2003</v>
      </c>
      <c r="B83" s="18"/>
      <c r="C83" s="21">
        <v>1</v>
      </c>
      <c r="D83" s="18"/>
      <c r="E83" s="18"/>
      <c r="F83" s="19" t="s">
        <v>180</v>
      </c>
      <c r="G83" s="1"/>
      <c r="H83" s="1"/>
    </row>
    <row r="84" spans="1:8" ht="28">
      <c r="A84" s="77">
        <v>2004</v>
      </c>
      <c r="B84" s="21">
        <v>1</v>
      </c>
      <c r="C84" s="18"/>
      <c r="D84" s="18"/>
      <c r="E84" s="18"/>
      <c r="F84" s="19" t="s">
        <v>181</v>
      </c>
      <c r="G84" s="1"/>
      <c r="H84" s="1"/>
    </row>
    <row r="85" spans="1:8" ht="98">
      <c r="A85" s="18"/>
      <c r="B85" s="18"/>
      <c r="C85" s="18"/>
      <c r="D85" s="21">
        <v>1</v>
      </c>
      <c r="E85" s="18"/>
      <c r="F85" s="19" t="s">
        <v>89</v>
      </c>
      <c r="G85" s="1"/>
      <c r="H85" s="1"/>
    </row>
    <row r="86" spans="1:8" ht="70">
      <c r="A86" s="18"/>
      <c r="B86" s="18"/>
      <c r="C86" s="21">
        <v>1</v>
      </c>
      <c r="D86" s="18"/>
      <c r="E86" s="18"/>
      <c r="F86" s="19" t="s">
        <v>183</v>
      </c>
      <c r="G86" s="1"/>
      <c r="H86" s="1"/>
    </row>
    <row r="87" spans="1:8" ht="42">
      <c r="A87" s="18"/>
      <c r="B87" s="18"/>
      <c r="C87" s="21">
        <v>1</v>
      </c>
      <c r="D87" s="18"/>
      <c r="E87" s="18"/>
      <c r="F87" s="19" t="s">
        <v>164</v>
      </c>
      <c r="G87" s="1"/>
      <c r="H87" s="1"/>
    </row>
    <row r="88" spans="1:8" ht="42">
      <c r="A88" s="77">
        <v>2005</v>
      </c>
      <c r="B88" s="18"/>
      <c r="C88" s="21">
        <v>1</v>
      </c>
      <c r="D88" s="18"/>
      <c r="E88" s="18"/>
      <c r="F88" s="19" t="s">
        <v>90</v>
      </c>
      <c r="G88" s="1"/>
      <c r="H88" s="1"/>
    </row>
    <row r="89" spans="1:8" ht="42">
      <c r="A89" s="18"/>
      <c r="B89" s="18"/>
      <c r="C89" s="18"/>
      <c r="D89" s="21">
        <v>1</v>
      </c>
      <c r="E89" s="18"/>
      <c r="F89" s="19" t="s">
        <v>166</v>
      </c>
      <c r="G89" s="1"/>
      <c r="H89" s="1"/>
    </row>
    <row r="90" spans="1:8" ht="42">
      <c r="A90" s="18"/>
      <c r="B90" s="21">
        <v>1</v>
      </c>
      <c r="C90" s="18"/>
      <c r="D90" s="18"/>
      <c r="E90" s="18"/>
      <c r="F90" s="19" t="s">
        <v>167</v>
      </c>
      <c r="G90" s="1"/>
      <c r="H90" s="1"/>
    </row>
    <row r="91" spans="1:8" ht="42">
      <c r="A91" s="77">
        <v>2006</v>
      </c>
      <c r="B91" s="21">
        <v>1</v>
      </c>
      <c r="C91" s="18"/>
      <c r="D91" s="18"/>
      <c r="E91" s="18"/>
      <c r="F91" s="19" t="s">
        <v>168</v>
      </c>
      <c r="G91" s="1"/>
      <c r="H91" s="1"/>
    </row>
    <row r="92" spans="1:8" ht="28">
      <c r="A92" s="18"/>
      <c r="B92" s="18"/>
      <c r="C92" s="21">
        <v>1</v>
      </c>
      <c r="D92" s="18"/>
      <c r="E92" s="18"/>
      <c r="F92" s="19" t="s">
        <v>91</v>
      </c>
      <c r="G92" s="1"/>
      <c r="H92" s="1"/>
    </row>
    <row r="93" spans="1:8" ht="42">
      <c r="A93" s="77">
        <v>2007</v>
      </c>
      <c r="B93" s="18"/>
      <c r="C93" s="21">
        <v>1</v>
      </c>
      <c r="D93" s="21"/>
      <c r="E93" s="18"/>
      <c r="F93" s="19" t="s">
        <v>92</v>
      </c>
      <c r="G93" s="1"/>
      <c r="H93" s="1"/>
    </row>
    <row r="94" spans="1:8" ht="112">
      <c r="A94" s="18"/>
      <c r="B94" s="18"/>
      <c r="C94" s="18"/>
      <c r="D94" s="21">
        <v>1</v>
      </c>
      <c r="E94" s="18"/>
      <c r="F94" s="19" t="s">
        <v>171</v>
      </c>
      <c r="G94" s="1"/>
      <c r="H94" s="1"/>
    </row>
    <row r="95" spans="1:8" ht="126">
      <c r="A95" s="18"/>
      <c r="B95" s="18"/>
      <c r="C95" s="18"/>
      <c r="D95" s="21">
        <v>1</v>
      </c>
      <c r="E95" s="18"/>
      <c r="F95" s="19" t="s">
        <v>172</v>
      </c>
      <c r="G95" s="1"/>
      <c r="H95" s="1"/>
    </row>
    <row r="96" spans="1:8" ht="140">
      <c r="A96" s="18"/>
      <c r="B96" s="18"/>
      <c r="C96" s="18"/>
      <c r="D96" s="21">
        <v>1</v>
      </c>
      <c r="E96" s="18"/>
      <c r="F96" s="19" t="s">
        <v>154</v>
      </c>
      <c r="G96" s="1"/>
      <c r="H96" s="1"/>
    </row>
    <row r="97" spans="1:8" ht="28">
      <c r="A97" s="77">
        <v>2008</v>
      </c>
      <c r="B97" s="18"/>
      <c r="C97" s="21">
        <v>1</v>
      </c>
      <c r="D97" s="21"/>
      <c r="E97" s="18"/>
      <c r="F97" s="19" t="s">
        <v>93</v>
      </c>
      <c r="G97" s="1"/>
      <c r="H97" s="1"/>
    </row>
    <row r="98" spans="1:8" ht="126">
      <c r="A98" s="18"/>
      <c r="B98" s="18"/>
      <c r="C98" s="18"/>
      <c r="D98" s="21">
        <v>1</v>
      </c>
      <c r="E98" s="18"/>
      <c r="F98" s="19" t="s">
        <v>156</v>
      </c>
      <c r="G98" s="1"/>
      <c r="H98" s="1"/>
    </row>
    <row r="99" spans="1:8" ht="56">
      <c r="A99" s="18"/>
      <c r="B99" s="18"/>
      <c r="C99" s="18"/>
      <c r="D99" s="21">
        <v>1</v>
      </c>
      <c r="E99" s="18"/>
      <c r="F99" s="19" t="s">
        <v>157</v>
      </c>
      <c r="G99" s="1"/>
      <c r="H99" s="1"/>
    </row>
    <row r="100" spans="1:8" ht="28">
      <c r="A100" s="77">
        <v>2009</v>
      </c>
      <c r="B100" s="21">
        <v>1</v>
      </c>
      <c r="C100" s="18"/>
      <c r="D100" s="18"/>
      <c r="E100" s="18"/>
      <c r="F100" s="19" t="s">
        <v>158</v>
      </c>
      <c r="G100" s="1"/>
      <c r="H100" s="1"/>
    </row>
    <row r="101" spans="1:8" ht="28">
      <c r="A101" s="18"/>
      <c r="B101" s="18"/>
      <c r="C101" s="21">
        <v>1</v>
      </c>
      <c r="D101" s="21"/>
      <c r="E101" s="18"/>
      <c r="F101" s="19" t="s">
        <v>94</v>
      </c>
      <c r="G101" s="1"/>
      <c r="H101" s="1"/>
    </row>
    <row r="102" spans="1:8" ht="70">
      <c r="A102" s="18"/>
      <c r="B102" s="18"/>
      <c r="C102" s="18"/>
      <c r="D102" s="21">
        <v>1</v>
      </c>
      <c r="E102" s="18"/>
      <c r="F102" s="19" t="s">
        <v>160</v>
      </c>
      <c r="G102" s="1"/>
      <c r="H102" s="1"/>
    </row>
    <row r="103" spans="1:8" ht="28">
      <c r="A103" s="18"/>
      <c r="B103" s="21">
        <v>1</v>
      </c>
      <c r="C103" s="18"/>
      <c r="D103" s="18"/>
      <c r="E103" s="18"/>
      <c r="F103" s="19" t="s">
        <v>161</v>
      </c>
      <c r="G103" s="1"/>
      <c r="H103" s="1"/>
    </row>
    <row r="104" spans="1:8" ht="14">
      <c r="A104" s="18"/>
      <c r="B104" s="18"/>
      <c r="C104" s="18"/>
      <c r="D104" s="21">
        <v>1</v>
      </c>
      <c r="E104" s="18"/>
      <c r="F104" s="19" t="s">
        <v>95</v>
      </c>
      <c r="G104" s="1"/>
      <c r="H104" s="1"/>
    </row>
    <row r="105" spans="1:8" ht="70">
      <c r="A105" s="77">
        <v>2010</v>
      </c>
      <c r="B105" s="18"/>
      <c r="C105" s="21">
        <v>1</v>
      </c>
      <c r="D105" s="21"/>
      <c r="E105" s="18"/>
      <c r="F105" s="19" t="s">
        <v>163</v>
      </c>
      <c r="G105" s="1"/>
      <c r="H105" s="1"/>
    </row>
    <row r="106" spans="1:8" ht="70">
      <c r="A106" s="18"/>
      <c r="B106" s="18"/>
      <c r="C106" s="21">
        <v>1</v>
      </c>
      <c r="D106" s="21" t="s">
        <v>118</v>
      </c>
      <c r="E106" s="18"/>
      <c r="F106" s="19" t="s">
        <v>96</v>
      </c>
      <c r="G106" s="1"/>
      <c r="H106" s="1"/>
    </row>
    <row r="107" spans="1:8" ht="28">
      <c r="A107" s="18"/>
      <c r="B107" s="21">
        <v>1</v>
      </c>
      <c r="C107" s="18"/>
      <c r="D107" s="18"/>
      <c r="E107" s="18"/>
      <c r="F107" s="19" t="s">
        <v>140</v>
      </c>
      <c r="G107" s="1"/>
      <c r="H107" s="1"/>
    </row>
    <row r="108" spans="1:8" ht="42">
      <c r="A108" s="18"/>
      <c r="B108" s="18"/>
      <c r="C108" s="18"/>
      <c r="D108" s="21">
        <v>1</v>
      </c>
      <c r="E108" s="18"/>
      <c r="F108" s="19" t="s">
        <v>141</v>
      </c>
      <c r="G108" s="1"/>
      <c r="H108" s="1"/>
    </row>
    <row r="109" spans="1:8" ht="70">
      <c r="A109" s="18"/>
      <c r="B109" s="18"/>
      <c r="C109" s="21">
        <v>1</v>
      </c>
      <c r="D109" s="18"/>
      <c r="E109" s="18"/>
      <c r="F109" s="19" t="s">
        <v>97</v>
      </c>
      <c r="G109" s="1"/>
      <c r="H109" s="1"/>
    </row>
    <row r="110" spans="1:8" ht="28">
      <c r="A110" s="77">
        <v>2011</v>
      </c>
      <c r="B110" s="21">
        <v>1</v>
      </c>
      <c r="C110" s="18"/>
      <c r="D110" s="18"/>
      <c r="E110" s="18"/>
      <c r="F110" s="19" t="s">
        <v>143</v>
      </c>
      <c r="G110" s="1"/>
      <c r="H110" s="1"/>
    </row>
    <row r="111" spans="1:8" ht="28">
      <c r="A111" s="18"/>
      <c r="B111" s="18"/>
      <c r="C111" s="21">
        <v>1</v>
      </c>
      <c r="D111" s="21"/>
      <c r="E111" s="18"/>
      <c r="F111" s="19" t="s">
        <v>98</v>
      </c>
      <c r="G111" s="1"/>
      <c r="H111" s="1"/>
    </row>
    <row r="112" spans="1:8" ht="28">
      <c r="A112" s="18"/>
      <c r="B112" s="18"/>
      <c r="C112" s="18"/>
      <c r="D112" s="21">
        <v>1</v>
      </c>
      <c r="E112" s="18"/>
      <c r="F112" s="19" t="s">
        <v>145</v>
      </c>
      <c r="G112" s="1"/>
      <c r="H112" s="1"/>
    </row>
    <row r="113" spans="1:8" ht="28">
      <c r="A113" s="18"/>
      <c r="B113" s="18"/>
      <c r="C113" s="18"/>
      <c r="D113" s="21">
        <v>1</v>
      </c>
      <c r="E113" s="18"/>
      <c r="F113" s="19" t="s">
        <v>146</v>
      </c>
      <c r="G113" s="1"/>
      <c r="H113" s="1"/>
    </row>
    <row r="114" spans="1:8" ht="28">
      <c r="A114" s="77">
        <v>2012</v>
      </c>
      <c r="B114" s="21">
        <v>1</v>
      </c>
      <c r="C114" s="18"/>
      <c r="D114" s="18"/>
      <c r="E114" s="18"/>
      <c r="F114" s="19" t="s">
        <v>147</v>
      </c>
      <c r="G114" s="1"/>
      <c r="H114" s="1"/>
    </row>
    <row r="115" spans="1:8" ht="28">
      <c r="A115" s="18"/>
      <c r="B115" s="18"/>
      <c r="C115" s="21">
        <v>1</v>
      </c>
      <c r="D115" s="21"/>
      <c r="E115" s="18"/>
      <c r="F115" s="19" t="s">
        <v>99</v>
      </c>
      <c r="G115" s="1"/>
      <c r="H115" s="1"/>
    </row>
    <row r="116" spans="1:8" ht="84">
      <c r="A116" s="18"/>
      <c r="B116" s="18"/>
      <c r="C116" s="18"/>
      <c r="D116" s="21">
        <v>1</v>
      </c>
      <c r="E116" s="18"/>
      <c r="F116" s="19" t="s">
        <v>149</v>
      </c>
      <c r="G116" s="1"/>
      <c r="H116" s="1"/>
    </row>
    <row r="117" spans="1:8" ht="28">
      <c r="A117" s="18"/>
      <c r="B117" s="18"/>
      <c r="C117" s="18"/>
      <c r="D117" s="21">
        <v>1</v>
      </c>
      <c r="E117" s="18"/>
      <c r="F117" s="19" t="s">
        <v>150</v>
      </c>
      <c r="G117" s="1"/>
      <c r="H117" s="1"/>
    </row>
    <row r="118" spans="1:8" ht="42">
      <c r="A118" s="18"/>
      <c r="B118" s="18"/>
      <c r="C118" s="18"/>
      <c r="D118" s="21"/>
      <c r="E118" s="18">
        <v>1</v>
      </c>
      <c r="F118" s="19" t="s">
        <v>151</v>
      </c>
      <c r="G118" s="1"/>
      <c r="H118" s="1"/>
    </row>
    <row r="119" spans="1:8" ht="56">
      <c r="A119" s="18"/>
      <c r="B119" s="18"/>
      <c r="C119" s="21">
        <v>1</v>
      </c>
      <c r="D119" s="18"/>
      <c r="E119" s="18"/>
      <c r="F119" s="19" t="s">
        <v>152</v>
      </c>
      <c r="G119" s="1"/>
      <c r="H119" s="1"/>
    </row>
    <row r="120" spans="1:8" ht="98">
      <c r="A120" s="18"/>
      <c r="B120" s="18"/>
      <c r="C120" s="21">
        <v>1</v>
      </c>
      <c r="D120" s="21"/>
      <c r="E120" s="18"/>
      <c r="F120" s="19" t="s">
        <v>153</v>
      </c>
      <c r="G120" s="1"/>
      <c r="H120" s="1"/>
    </row>
    <row r="121" spans="1:8" ht="112">
      <c r="A121" s="18"/>
      <c r="B121" s="18"/>
      <c r="C121" s="21" t="s">
        <v>117</v>
      </c>
      <c r="D121" s="21">
        <v>1</v>
      </c>
      <c r="E121" s="18"/>
      <c r="F121" s="19" t="s">
        <v>127</v>
      </c>
      <c r="G121" s="1"/>
      <c r="H121" s="1"/>
    </row>
    <row r="122" spans="1:8" ht="42">
      <c r="A122" s="18"/>
      <c r="B122" s="18"/>
      <c r="C122" s="21">
        <v>1</v>
      </c>
      <c r="D122" s="18"/>
      <c r="E122" s="18"/>
      <c r="F122" s="7" t="s">
        <v>128</v>
      </c>
      <c r="G122" s="1"/>
      <c r="H122" s="1"/>
    </row>
    <row r="123" spans="1:8" ht="98">
      <c r="A123" s="77">
        <v>2013</v>
      </c>
      <c r="B123" s="18"/>
      <c r="C123" s="21">
        <v>1</v>
      </c>
      <c r="D123" s="21"/>
      <c r="E123" s="18"/>
      <c r="F123" s="19" t="s">
        <v>100</v>
      </c>
      <c r="G123" s="1"/>
      <c r="H123" s="1"/>
    </row>
    <row r="124" spans="1:8" ht="56">
      <c r="A124" s="18"/>
      <c r="B124" s="18"/>
      <c r="C124" s="21" t="s">
        <v>117</v>
      </c>
      <c r="D124" s="21">
        <v>1</v>
      </c>
      <c r="E124" s="18"/>
      <c r="F124" s="19" t="s">
        <v>130</v>
      </c>
      <c r="G124" s="1"/>
      <c r="H124" s="1"/>
    </row>
    <row r="125" spans="1:8" ht="42">
      <c r="A125" s="18"/>
      <c r="B125" s="18"/>
      <c r="C125" s="21">
        <v>1</v>
      </c>
      <c r="D125" s="18"/>
      <c r="E125" s="18"/>
      <c r="F125" s="19" t="s">
        <v>131</v>
      </c>
      <c r="G125" s="1"/>
      <c r="H125" s="1"/>
    </row>
    <row r="126" spans="1:8" ht="56">
      <c r="A126" s="18"/>
      <c r="B126" s="18"/>
      <c r="C126" s="18"/>
      <c r="D126" s="21">
        <v>1</v>
      </c>
      <c r="E126" s="18"/>
      <c r="F126" s="19" t="s">
        <v>132</v>
      </c>
      <c r="G126" s="1"/>
      <c r="H126" s="1"/>
    </row>
    <row r="127" spans="1:8" ht="84">
      <c r="A127" s="18"/>
      <c r="B127" s="18"/>
      <c r="C127" s="18"/>
      <c r="D127" s="21">
        <v>1</v>
      </c>
      <c r="E127" s="18"/>
      <c r="F127" s="19" t="s">
        <v>133</v>
      </c>
      <c r="G127" s="1"/>
      <c r="H127" s="1"/>
    </row>
    <row r="128" spans="1:8" ht="28">
      <c r="A128" s="77">
        <v>2014</v>
      </c>
      <c r="B128" s="21">
        <v>1</v>
      </c>
      <c r="C128" s="18"/>
      <c r="D128" s="18"/>
      <c r="E128" s="18"/>
      <c r="F128" s="19" t="s">
        <v>134</v>
      </c>
      <c r="G128" s="1"/>
      <c r="H128" s="1"/>
    </row>
    <row r="129" spans="1:8" ht="70">
      <c r="A129" s="18"/>
      <c r="B129" s="18"/>
      <c r="C129" s="18"/>
      <c r="D129" s="21">
        <v>1</v>
      </c>
      <c r="E129" s="18"/>
      <c r="F129" s="19" t="s">
        <v>135</v>
      </c>
      <c r="G129" s="1"/>
      <c r="H129" s="1"/>
    </row>
    <row r="130" spans="1:8" ht="28">
      <c r="A130" s="18"/>
      <c r="B130" s="18"/>
      <c r="C130" s="21">
        <v>1</v>
      </c>
      <c r="D130" s="18"/>
      <c r="E130" s="18"/>
      <c r="F130" s="19" t="s">
        <v>136</v>
      </c>
      <c r="G130" s="1"/>
      <c r="H130" s="1"/>
    </row>
    <row r="131" spans="1:8" ht="42">
      <c r="A131" s="18"/>
      <c r="B131" s="18"/>
      <c r="C131" s="18"/>
      <c r="D131" s="21">
        <v>1</v>
      </c>
      <c r="E131" s="18"/>
      <c r="F131" s="19" t="s">
        <v>137</v>
      </c>
      <c r="G131" s="1"/>
      <c r="H131" s="1"/>
    </row>
    <row r="132" spans="1:8" ht="14">
      <c r="A132" s="18"/>
      <c r="B132" s="18"/>
      <c r="C132" s="18"/>
      <c r="D132" s="21">
        <v>1</v>
      </c>
      <c r="E132" s="18"/>
      <c r="F132" s="19" t="s">
        <v>138</v>
      </c>
      <c r="G132" s="1"/>
      <c r="H132" s="1"/>
    </row>
    <row r="133" spans="1:8" ht="42">
      <c r="A133" s="18"/>
      <c r="B133" s="18"/>
      <c r="C133" s="21">
        <v>1</v>
      </c>
      <c r="D133" s="18"/>
      <c r="E133" s="18"/>
      <c r="F133" s="7" t="s">
        <v>110</v>
      </c>
      <c r="G133" s="1"/>
      <c r="H133" s="1"/>
    </row>
    <row r="134" spans="1:8" ht="56">
      <c r="A134" s="18"/>
      <c r="B134" s="18"/>
      <c r="C134" s="21">
        <v>1</v>
      </c>
      <c r="D134" s="18"/>
      <c r="E134" s="18"/>
      <c r="F134" s="19" t="s">
        <v>76</v>
      </c>
      <c r="G134" s="1"/>
      <c r="H134" s="1"/>
    </row>
    <row r="135" spans="1:8" ht="84">
      <c r="A135" s="77">
        <v>2015</v>
      </c>
      <c r="B135" s="21"/>
      <c r="C135" s="18"/>
      <c r="D135" s="21">
        <v>1</v>
      </c>
      <c r="E135" s="18"/>
      <c r="F135" s="19" t="s">
        <v>77</v>
      </c>
      <c r="G135" s="1"/>
      <c r="H135" s="1"/>
    </row>
    <row r="136" spans="1:8" ht="42">
      <c r="A136" s="18"/>
      <c r="B136" s="18"/>
      <c r="C136" s="18"/>
      <c r="D136" s="21">
        <v>1</v>
      </c>
      <c r="E136" s="18"/>
      <c r="F136" s="19" t="s">
        <v>113</v>
      </c>
      <c r="G136" s="1"/>
      <c r="H136" s="1"/>
    </row>
    <row r="137" spans="1:8" ht="42">
      <c r="A137" s="18"/>
      <c r="B137" s="18"/>
      <c r="C137" s="18"/>
      <c r="D137" s="21">
        <v>1</v>
      </c>
      <c r="E137" s="18"/>
      <c r="F137" s="19" t="s">
        <v>114</v>
      </c>
      <c r="G137" s="1"/>
      <c r="H137" s="1"/>
    </row>
    <row r="138" spans="1:8" ht="14">
      <c r="A138" s="18"/>
      <c r="B138" s="18"/>
      <c r="C138" s="21">
        <v>1</v>
      </c>
      <c r="D138" s="18"/>
      <c r="E138" s="18"/>
      <c r="F138" s="19" t="s">
        <v>115</v>
      </c>
      <c r="G138" s="1"/>
      <c r="H138" s="1"/>
    </row>
    <row r="139" spans="1:8" s="3" customFormat="1">
      <c r="A139" s="89"/>
      <c r="B139" s="89"/>
      <c r="C139" s="89"/>
      <c r="D139" s="89"/>
      <c r="E139" s="89"/>
    </row>
    <row r="140" spans="1:8">
      <c r="A140" s="76"/>
      <c r="B140" s="76"/>
      <c r="C140" s="76"/>
      <c r="D140" s="76"/>
      <c r="E140" s="76"/>
    </row>
    <row r="141" spans="1:8" ht="14">
      <c r="A141" s="76"/>
      <c r="B141" s="76" t="s">
        <v>116</v>
      </c>
      <c r="C141" s="76" t="s">
        <v>117</v>
      </c>
      <c r="D141" s="76" t="s">
        <v>118</v>
      </c>
      <c r="E141" s="76" t="s">
        <v>121</v>
      </c>
      <c r="F141" s="76" t="s">
        <v>122</v>
      </c>
      <c r="G141" s="69" t="s">
        <v>247</v>
      </c>
    </row>
    <row r="142" spans="1:8" ht="14">
      <c r="A142" s="76" t="s">
        <v>119</v>
      </c>
      <c r="B142" s="83">
        <f>SUM(B3:B92)</f>
        <v>17</v>
      </c>
      <c r="C142" s="83">
        <f>SUM(C3:C92)</f>
        <v>51</v>
      </c>
      <c r="D142" s="83">
        <f>SUM(D3:D92)</f>
        <v>15</v>
      </c>
      <c r="E142" s="83">
        <f>SUM(E3:E92)</f>
        <v>3</v>
      </c>
      <c r="F142" s="76">
        <f>SUM(B142:E142)</f>
        <v>86</v>
      </c>
      <c r="G142" s="69">
        <v>37</v>
      </c>
    </row>
    <row r="143" spans="1:8">
      <c r="A143" s="76"/>
      <c r="B143" s="94">
        <f>B142/G142</f>
        <v>0.45945945945945948</v>
      </c>
      <c r="C143" s="94">
        <f>C142/G142</f>
        <v>1.3783783783783783</v>
      </c>
      <c r="D143" s="94">
        <f>D142/G142</f>
        <v>0.40540540540540543</v>
      </c>
      <c r="E143" s="94">
        <f>E142/G142</f>
        <v>8.1081081081081086E-2</v>
      </c>
      <c r="F143" s="86">
        <f>F142/G142</f>
        <v>2.3243243243243241</v>
      </c>
      <c r="G143" s="69"/>
    </row>
    <row r="144" spans="1:8" ht="14">
      <c r="A144" s="76" t="s">
        <v>120</v>
      </c>
      <c r="B144" s="83">
        <f>SUM(B93:B138)</f>
        <v>6</v>
      </c>
      <c r="C144" s="83">
        <f t="shared" ref="C144:E144" si="0">SUM(C93:C138)</f>
        <v>17</v>
      </c>
      <c r="D144" s="83">
        <f t="shared" si="0"/>
        <v>22</v>
      </c>
      <c r="E144" s="83">
        <f t="shared" si="0"/>
        <v>1</v>
      </c>
      <c r="F144" s="76">
        <f>SUM(B144:E144)</f>
        <v>46</v>
      </c>
      <c r="G144" s="69">
        <v>9</v>
      </c>
    </row>
    <row r="145" spans="1:7">
      <c r="A145" s="76"/>
      <c r="B145" s="94">
        <f>B144/G144</f>
        <v>0.66666666666666663</v>
      </c>
      <c r="C145" s="94">
        <f>C144/G144</f>
        <v>1.8888888888888888</v>
      </c>
      <c r="D145" s="94">
        <f>D144/G144</f>
        <v>2.4444444444444446</v>
      </c>
      <c r="E145" s="94">
        <f>E144/G144</f>
        <v>0.1111111111111111</v>
      </c>
      <c r="F145" s="86">
        <f>F144/G144</f>
        <v>5.1111111111111107</v>
      </c>
      <c r="G145" s="1"/>
    </row>
    <row r="146" spans="1:7">
      <c r="A146" s="76"/>
      <c r="B146" s="83">
        <f>SUM(B142+B144)</f>
        <v>23</v>
      </c>
      <c r="C146" s="83">
        <f t="shared" ref="C146:E146" si="1">SUM(C142+C144)</f>
        <v>68</v>
      </c>
      <c r="D146" s="83">
        <f t="shared" si="1"/>
        <v>37</v>
      </c>
      <c r="E146" s="83">
        <f t="shared" si="1"/>
        <v>4</v>
      </c>
    </row>
    <row r="147" spans="1:7">
      <c r="A147" s="76"/>
      <c r="B147" s="76"/>
      <c r="C147" s="76"/>
      <c r="D147" s="76"/>
      <c r="E147" s="76">
        <f>SUM(B146:E146)</f>
        <v>132</v>
      </c>
    </row>
    <row r="148" spans="1:7">
      <c r="A148" s="76"/>
      <c r="B148" s="76"/>
      <c r="C148" s="76"/>
      <c r="D148" s="76"/>
      <c r="E148" s="76"/>
    </row>
    <row r="149" spans="1:7">
      <c r="A149" s="88" t="s">
        <v>82</v>
      </c>
      <c r="B149" s="1"/>
      <c r="C149" s="1"/>
      <c r="D149" s="1"/>
      <c r="E149" s="1"/>
    </row>
    <row r="151" spans="1:7">
      <c r="A151" s="30" t="s">
        <v>84</v>
      </c>
    </row>
    <row r="152" spans="1:7">
      <c r="A152" s="30" t="s">
        <v>484</v>
      </c>
    </row>
  </sheetData>
  <phoneticPr fontId="6" type="noConversion"/>
  <pageMargins left="0.75" right="0.75" top="1" bottom="1" header="0.5" footer="0.5"/>
  <pageSetup paperSize="0" orientation="portrait" horizontalDpi="4294967292" verticalDpi="4294967292"/>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ublished="0"/>
  <dimension ref="A1:G150"/>
  <sheetViews>
    <sheetView topLeftCell="A135" workbookViewId="0">
      <selection activeCell="F149" sqref="F149"/>
    </sheetView>
  </sheetViews>
  <sheetFormatPr baseColWidth="10" defaultRowHeight="13"/>
  <cols>
    <col min="1" max="1" width="15.5" customWidth="1"/>
    <col min="2" max="2" width="7.5" customWidth="1"/>
    <col min="3" max="4" width="5.83203125" customWidth="1"/>
    <col min="5" max="5" width="5.6640625" customWidth="1"/>
    <col min="6" max="6" width="32.5" customWidth="1"/>
  </cols>
  <sheetData>
    <row r="1" spans="1:7" ht="14">
      <c r="A1" s="76"/>
      <c r="B1" s="76"/>
      <c r="C1" s="76" t="s">
        <v>249</v>
      </c>
      <c r="D1" s="76"/>
      <c r="E1" s="76"/>
      <c r="F1" s="76"/>
      <c r="G1" s="1"/>
    </row>
    <row r="2" spans="1:7" ht="56">
      <c r="A2" s="2" t="s">
        <v>250</v>
      </c>
      <c r="B2" s="73" t="s">
        <v>251</v>
      </c>
      <c r="C2" s="73" t="s">
        <v>252</v>
      </c>
      <c r="D2" s="73" t="s">
        <v>253</v>
      </c>
      <c r="E2" s="73" t="s">
        <v>254</v>
      </c>
      <c r="F2" s="7" t="s">
        <v>255</v>
      </c>
      <c r="G2" s="1"/>
    </row>
    <row r="3" spans="1:7" ht="70">
      <c r="A3" s="77">
        <v>1970</v>
      </c>
      <c r="B3" s="78"/>
      <c r="C3" s="79">
        <v>1</v>
      </c>
      <c r="D3" s="78"/>
      <c r="E3" s="79"/>
      <c r="F3" s="80" t="s">
        <v>256</v>
      </c>
      <c r="G3" s="1"/>
    </row>
    <row r="4" spans="1:7" ht="56">
      <c r="A4" s="81">
        <v>1971</v>
      </c>
      <c r="B4" s="79">
        <v>1</v>
      </c>
      <c r="C4" s="78"/>
      <c r="D4" s="78"/>
      <c r="E4" s="78"/>
      <c r="F4" s="80" t="s">
        <v>257</v>
      </c>
      <c r="G4" s="1"/>
    </row>
    <row r="5" spans="1:7" ht="56">
      <c r="A5" s="78"/>
      <c r="B5" s="78"/>
      <c r="C5" s="79"/>
      <c r="D5" s="79">
        <v>1</v>
      </c>
      <c r="E5" s="78"/>
      <c r="F5" s="80" t="s">
        <v>258</v>
      </c>
      <c r="G5" s="1"/>
    </row>
    <row r="6" spans="1:7" ht="14">
      <c r="A6" s="77">
        <v>1972</v>
      </c>
      <c r="B6" s="79"/>
      <c r="C6" s="78"/>
      <c r="D6" s="78"/>
      <c r="E6" s="78"/>
      <c r="F6" s="80" t="s">
        <v>335</v>
      </c>
      <c r="G6" s="1"/>
    </row>
    <row r="7" spans="1:7" ht="56">
      <c r="A7" s="77">
        <v>1973</v>
      </c>
      <c r="B7" s="79">
        <v>1</v>
      </c>
      <c r="C7" s="78"/>
      <c r="D7" s="78"/>
      <c r="E7" s="78"/>
      <c r="F7" s="80" t="s">
        <v>259</v>
      </c>
      <c r="G7" s="1"/>
    </row>
    <row r="8" spans="1:7" ht="42">
      <c r="A8" s="78"/>
      <c r="B8" s="78"/>
      <c r="C8" s="79">
        <v>1</v>
      </c>
      <c r="D8" s="78"/>
      <c r="E8" s="78"/>
      <c r="F8" s="80" t="s">
        <v>260</v>
      </c>
      <c r="G8" s="1"/>
    </row>
    <row r="9" spans="1:7" ht="28">
      <c r="A9" s="77">
        <v>1974</v>
      </c>
      <c r="B9" s="78"/>
      <c r="C9" s="78"/>
      <c r="D9" s="79"/>
      <c r="E9" s="79">
        <v>1</v>
      </c>
      <c r="F9" s="80" t="s">
        <v>261</v>
      </c>
      <c r="G9" s="1"/>
    </row>
    <row r="10" spans="1:7" ht="28">
      <c r="A10" s="78"/>
      <c r="B10" s="78"/>
      <c r="C10" s="79"/>
      <c r="D10" s="78"/>
      <c r="E10" s="79">
        <v>1</v>
      </c>
      <c r="F10" s="80" t="s">
        <v>262</v>
      </c>
      <c r="G10" s="1"/>
    </row>
    <row r="11" spans="1:7" ht="28">
      <c r="A11" s="78"/>
      <c r="B11" s="79">
        <v>1</v>
      </c>
      <c r="C11" s="78"/>
      <c r="D11" s="78"/>
      <c r="E11" s="78"/>
      <c r="F11" s="80" t="s">
        <v>263</v>
      </c>
      <c r="G11" s="1"/>
    </row>
    <row r="12" spans="1:7" ht="42">
      <c r="A12" s="78"/>
      <c r="B12" s="78"/>
      <c r="C12" s="79">
        <v>1</v>
      </c>
      <c r="D12" s="79"/>
      <c r="E12" s="78"/>
      <c r="F12" s="80" t="s">
        <v>235</v>
      </c>
      <c r="G12" s="1"/>
    </row>
    <row r="13" spans="1:7" ht="70">
      <c r="A13" s="77">
        <v>1975</v>
      </c>
      <c r="B13" s="78"/>
      <c r="C13" s="79">
        <v>1</v>
      </c>
      <c r="D13" s="78"/>
      <c r="E13" s="78"/>
      <c r="F13" s="80" t="s">
        <v>236</v>
      </c>
      <c r="G13" s="1"/>
    </row>
    <row r="14" spans="1:7" ht="42">
      <c r="A14" s="78"/>
      <c r="B14" s="79">
        <v>1</v>
      </c>
      <c r="C14" s="78"/>
      <c r="D14" s="78"/>
      <c r="E14" s="78"/>
      <c r="F14" s="80" t="s">
        <v>237</v>
      </c>
      <c r="G14" s="1"/>
    </row>
    <row r="15" spans="1:7" ht="140">
      <c r="A15" s="78"/>
      <c r="B15" s="79">
        <v>1</v>
      </c>
      <c r="C15" s="78"/>
      <c r="D15" s="78"/>
      <c r="E15" s="78"/>
      <c r="F15" s="80" t="s">
        <v>238</v>
      </c>
      <c r="G15" s="1"/>
    </row>
    <row r="16" spans="1:7" ht="14">
      <c r="A16" s="77">
        <v>1976</v>
      </c>
      <c r="B16" s="78"/>
      <c r="C16" s="78"/>
      <c r="D16" s="78"/>
      <c r="E16" s="78"/>
      <c r="F16" s="80" t="s">
        <v>335</v>
      </c>
      <c r="G16" s="1"/>
    </row>
    <row r="17" spans="1:7" ht="42">
      <c r="A17" s="77">
        <v>1977</v>
      </c>
      <c r="B17" s="78"/>
      <c r="C17" s="79">
        <v>1</v>
      </c>
      <c r="D17" s="79"/>
      <c r="E17" s="78"/>
      <c r="F17" s="80" t="s">
        <v>239</v>
      </c>
      <c r="G17" s="1"/>
    </row>
    <row r="18" spans="1:7" ht="70">
      <c r="A18" s="78"/>
      <c r="B18" s="78"/>
      <c r="C18" s="79">
        <v>1</v>
      </c>
      <c r="D18" s="78"/>
      <c r="E18" s="78"/>
      <c r="F18" s="80" t="s">
        <v>240</v>
      </c>
      <c r="G18" s="1"/>
    </row>
    <row r="19" spans="1:7" ht="126">
      <c r="A19" s="77">
        <v>1978</v>
      </c>
      <c r="B19" s="78"/>
      <c r="C19" s="79">
        <v>1</v>
      </c>
      <c r="D19" s="78"/>
      <c r="E19" s="78"/>
      <c r="F19" s="80" t="s">
        <v>241</v>
      </c>
      <c r="G19" s="1"/>
    </row>
    <row r="20" spans="1:7" ht="42">
      <c r="A20" s="77">
        <v>1979</v>
      </c>
      <c r="B20" s="79">
        <v>1</v>
      </c>
      <c r="C20" s="78"/>
      <c r="D20" s="78"/>
      <c r="E20" s="78"/>
      <c r="F20" s="80" t="s">
        <v>242</v>
      </c>
      <c r="G20" s="1"/>
    </row>
    <row r="21" spans="1:7" ht="112">
      <c r="A21" s="82"/>
      <c r="B21" s="78"/>
      <c r="C21" s="78"/>
      <c r="D21" s="79"/>
      <c r="E21" s="79">
        <v>1</v>
      </c>
      <c r="F21" s="80" t="s">
        <v>243</v>
      </c>
      <c r="G21" s="1"/>
    </row>
    <row r="22" spans="1:7" ht="98">
      <c r="A22" s="78"/>
      <c r="B22" s="78"/>
      <c r="C22" s="79">
        <v>1</v>
      </c>
      <c r="D22" s="79"/>
      <c r="E22" s="78"/>
      <c r="F22" s="80" t="s">
        <v>244</v>
      </c>
      <c r="G22" s="1"/>
    </row>
    <row r="23" spans="1:7" ht="56">
      <c r="A23" s="77">
        <v>1980</v>
      </c>
      <c r="B23" s="78"/>
      <c r="C23" s="79">
        <v>1</v>
      </c>
      <c r="D23" s="78"/>
      <c r="E23" s="78"/>
      <c r="F23" s="80" t="s">
        <v>226</v>
      </c>
      <c r="G23" s="1"/>
    </row>
    <row r="24" spans="1:7" ht="42">
      <c r="A24" s="82"/>
      <c r="B24" s="78"/>
      <c r="C24" s="79">
        <v>1</v>
      </c>
      <c r="D24" s="79"/>
      <c r="E24" s="78"/>
      <c r="F24" s="83" t="s">
        <v>227</v>
      </c>
      <c r="G24" s="1"/>
    </row>
    <row r="25" spans="1:7" ht="182">
      <c r="A25" s="82"/>
      <c r="B25" s="78"/>
      <c r="C25" s="78"/>
      <c r="D25" s="79">
        <v>1</v>
      </c>
      <c r="E25" s="78"/>
      <c r="F25" s="80" t="s">
        <v>228</v>
      </c>
      <c r="G25" s="1"/>
    </row>
    <row r="26" spans="1:7" ht="14">
      <c r="A26" s="77">
        <v>1981</v>
      </c>
      <c r="B26" s="78"/>
      <c r="C26" s="78"/>
      <c r="D26" s="78"/>
      <c r="E26" s="78"/>
      <c r="F26" s="80" t="s">
        <v>335</v>
      </c>
      <c r="G26" s="1"/>
    </row>
    <row r="27" spans="1:7" ht="112">
      <c r="A27" s="77">
        <v>1982</v>
      </c>
      <c r="B27" s="78"/>
      <c r="C27" s="79">
        <v>1</v>
      </c>
      <c r="D27" s="78"/>
      <c r="E27" s="78"/>
      <c r="F27" s="80" t="s">
        <v>229</v>
      </c>
      <c r="G27" s="1"/>
    </row>
    <row r="28" spans="1:7" ht="56">
      <c r="A28" s="78"/>
      <c r="B28" s="78"/>
      <c r="C28" s="79">
        <v>1</v>
      </c>
      <c r="D28" s="78"/>
      <c r="E28" s="78"/>
      <c r="F28" s="80" t="s">
        <v>230</v>
      </c>
      <c r="G28" s="1"/>
    </row>
    <row r="29" spans="1:7" ht="98">
      <c r="A29" s="77">
        <v>1983</v>
      </c>
      <c r="B29" s="78"/>
      <c r="C29" s="79">
        <v>1</v>
      </c>
      <c r="D29" s="78"/>
      <c r="E29" s="78"/>
      <c r="F29" s="80" t="s">
        <v>231</v>
      </c>
      <c r="G29" s="1"/>
    </row>
    <row r="30" spans="1:7" ht="70">
      <c r="A30" s="78"/>
      <c r="B30" s="79">
        <v>1</v>
      </c>
      <c r="C30" s="78"/>
      <c r="D30" s="78"/>
      <c r="E30" s="78"/>
      <c r="F30" s="80" t="s">
        <v>232</v>
      </c>
      <c r="G30" s="1"/>
    </row>
    <row r="31" spans="1:7" ht="70">
      <c r="A31" s="78"/>
      <c r="B31" s="78"/>
      <c r="C31" s="79">
        <v>1</v>
      </c>
      <c r="D31" s="78"/>
      <c r="E31" s="78"/>
      <c r="F31" s="80" t="s">
        <v>233</v>
      </c>
      <c r="G31" s="1"/>
    </row>
    <row r="32" spans="1:7" ht="56">
      <c r="A32" s="77">
        <v>1984</v>
      </c>
      <c r="B32" s="78"/>
      <c r="C32" s="79">
        <v>1</v>
      </c>
      <c r="D32" s="78"/>
      <c r="E32" s="78"/>
      <c r="F32" s="80" t="s">
        <v>234</v>
      </c>
      <c r="G32" s="1"/>
    </row>
    <row r="33" spans="1:7" ht="112">
      <c r="A33" s="78"/>
      <c r="B33" s="78"/>
      <c r="C33" s="79">
        <v>1</v>
      </c>
      <c r="D33" s="78"/>
      <c r="E33" s="78"/>
      <c r="F33" s="80" t="s">
        <v>221</v>
      </c>
      <c r="G33" s="1"/>
    </row>
    <row r="34" spans="1:7" ht="84">
      <c r="A34" s="77">
        <v>1985</v>
      </c>
      <c r="B34" s="78"/>
      <c r="C34" s="79">
        <v>1</v>
      </c>
      <c r="D34" s="78"/>
      <c r="E34" s="78"/>
      <c r="F34" s="80" t="s">
        <v>222</v>
      </c>
      <c r="G34" s="1"/>
    </row>
    <row r="35" spans="1:7" ht="56">
      <c r="A35" s="78"/>
      <c r="B35" s="79"/>
      <c r="C35" s="79">
        <v>1</v>
      </c>
      <c r="D35" s="78"/>
      <c r="E35" s="78"/>
      <c r="F35" s="80" t="s">
        <v>223</v>
      </c>
      <c r="G35" s="1"/>
    </row>
    <row r="36" spans="1:7" ht="174">
      <c r="A36" s="81">
        <v>1986</v>
      </c>
      <c r="B36" s="79"/>
      <c r="C36" s="79">
        <v>1</v>
      </c>
      <c r="D36" s="78"/>
      <c r="E36" s="78"/>
      <c r="F36" s="80" t="s">
        <v>224</v>
      </c>
      <c r="G36" s="1"/>
    </row>
    <row r="37" spans="1:7" ht="28">
      <c r="A37" s="77">
        <v>1987</v>
      </c>
      <c r="B37" s="79">
        <v>1</v>
      </c>
      <c r="C37" s="78"/>
      <c r="D37" s="78"/>
      <c r="E37" s="78"/>
      <c r="F37" s="80" t="s">
        <v>225</v>
      </c>
      <c r="G37" s="1"/>
    </row>
    <row r="38" spans="1:7" ht="154">
      <c r="A38" s="78"/>
      <c r="B38" s="78"/>
      <c r="C38" s="79">
        <v>1</v>
      </c>
      <c r="D38" s="78"/>
      <c r="E38" s="78"/>
      <c r="F38" s="80" t="s">
        <v>220</v>
      </c>
      <c r="G38" s="1"/>
    </row>
    <row r="39" spans="1:7" ht="216">
      <c r="A39" s="78"/>
      <c r="B39" s="78"/>
      <c r="C39" s="79">
        <v>1</v>
      </c>
      <c r="D39" s="78"/>
      <c r="E39" s="78"/>
      <c r="F39" s="80" t="s">
        <v>216</v>
      </c>
      <c r="G39" s="1"/>
    </row>
    <row r="40" spans="1:7" ht="84">
      <c r="A40" s="78"/>
      <c r="B40" s="79">
        <v>1</v>
      </c>
      <c r="C40" s="78"/>
      <c r="D40" s="78"/>
      <c r="E40" s="78"/>
      <c r="F40" s="80" t="s">
        <v>217</v>
      </c>
      <c r="G40" s="1"/>
    </row>
    <row r="41" spans="1:7" ht="160">
      <c r="A41" s="77">
        <v>1988</v>
      </c>
      <c r="B41" s="79">
        <v>1</v>
      </c>
      <c r="C41" s="78"/>
      <c r="D41" s="78"/>
      <c r="E41" s="78"/>
      <c r="F41" s="80" t="s">
        <v>218</v>
      </c>
      <c r="G41" s="1"/>
    </row>
    <row r="42" spans="1:7" ht="56">
      <c r="A42" s="78"/>
      <c r="B42" s="78"/>
      <c r="C42" s="79"/>
      <c r="D42" s="78"/>
      <c r="E42" s="79">
        <v>1</v>
      </c>
      <c r="F42" s="80" t="s">
        <v>219</v>
      </c>
      <c r="G42" s="1"/>
    </row>
    <row r="43" spans="1:7" ht="73">
      <c r="A43" s="78"/>
      <c r="B43" s="78"/>
      <c r="C43" s="78"/>
      <c r="D43" s="79"/>
      <c r="E43" s="79">
        <v>1</v>
      </c>
      <c r="F43" s="80" t="s">
        <v>210</v>
      </c>
      <c r="G43" s="1"/>
    </row>
    <row r="44" spans="1:7" ht="112">
      <c r="A44" s="78"/>
      <c r="B44" s="79"/>
      <c r="C44" s="79"/>
      <c r="D44" s="79">
        <v>1</v>
      </c>
      <c r="E44" s="78"/>
      <c r="F44" s="80" t="s">
        <v>211</v>
      </c>
      <c r="G44" s="1"/>
    </row>
    <row r="45" spans="1:7" ht="140">
      <c r="A45" s="78"/>
      <c r="B45" s="78"/>
      <c r="C45" s="79">
        <v>1</v>
      </c>
      <c r="D45" s="78"/>
      <c r="E45" s="78"/>
      <c r="F45" s="80" t="s">
        <v>212</v>
      </c>
      <c r="G45" s="1"/>
    </row>
    <row r="46" spans="1:7" ht="70">
      <c r="A46" s="78"/>
      <c r="B46" s="78"/>
      <c r="C46" s="79">
        <v>1</v>
      </c>
      <c r="D46" s="79"/>
      <c r="E46" s="79"/>
      <c r="F46" s="80" t="s">
        <v>213</v>
      </c>
      <c r="G46" s="1"/>
    </row>
    <row r="47" spans="1:7" ht="56">
      <c r="A47" s="77">
        <v>1989</v>
      </c>
      <c r="B47" s="78"/>
      <c r="C47" s="79">
        <v>1</v>
      </c>
      <c r="D47" s="78"/>
      <c r="E47" s="78"/>
      <c r="F47" s="80" t="s">
        <v>214</v>
      </c>
      <c r="G47" s="1"/>
    </row>
    <row r="48" spans="1:7" ht="126">
      <c r="A48" s="78"/>
      <c r="B48" s="78"/>
      <c r="C48" s="79">
        <v>1</v>
      </c>
      <c r="D48" s="78"/>
      <c r="E48" s="78"/>
      <c r="F48" s="80" t="s">
        <v>215</v>
      </c>
      <c r="G48" s="1"/>
    </row>
    <row r="49" spans="1:7" ht="154">
      <c r="A49" s="78"/>
      <c r="B49" s="78"/>
      <c r="C49" s="79">
        <v>1</v>
      </c>
      <c r="D49" s="78"/>
      <c r="E49" s="78"/>
      <c r="F49" s="80" t="s">
        <v>204</v>
      </c>
      <c r="G49" s="1"/>
    </row>
    <row r="50" spans="1:7" ht="14">
      <c r="A50" s="77">
        <v>1990</v>
      </c>
      <c r="B50" s="79"/>
      <c r="C50" s="78"/>
      <c r="D50" s="78"/>
      <c r="E50" s="78"/>
      <c r="F50" s="80" t="s">
        <v>335</v>
      </c>
      <c r="G50" s="1"/>
    </row>
    <row r="51" spans="1:7" ht="28">
      <c r="A51" s="77">
        <v>1991</v>
      </c>
      <c r="B51" s="79">
        <v>1</v>
      </c>
      <c r="C51" s="78"/>
      <c r="D51" s="78"/>
      <c r="E51" s="78"/>
      <c r="F51" s="80" t="s">
        <v>205</v>
      </c>
      <c r="G51" s="1"/>
    </row>
    <row r="52" spans="1:7" ht="70">
      <c r="A52" s="78"/>
      <c r="B52" s="78"/>
      <c r="C52" s="79">
        <v>1</v>
      </c>
      <c r="D52" s="79"/>
      <c r="E52" s="78"/>
      <c r="F52" s="80" t="s">
        <v>206</v>
      </c>
      <c r="G52" s="1"/>
    </row>
    <row r="53" spans="1:7" ht="84">
      <c r="A53" s="81">
        <v>1992</v>
      </c>
      <c r="B53" s="78"/>
      <c r="C53" s="79">
        <v>1</v>
      </c>
      <c r="D53" s="79"/>
      <c r="E53" s="78"/>
      <c r="F53" s="80" t="s">
        <v>207</v>
      </c>
      <c r="G53" s="1"/>
    </row>
    <row r="54" spans="1:7" ht="70">
      <c r="A54" s="78"/>
      <c r="B54" s="78"/>
      <c r="C54" s="79"/>
      <c r="D54" s="79">
        <v>1</v>
      </c>
      <c r="E54" s="78"/>
      <c r="F54" s="80" t="s">
        <v>208</v>
      </c>
      <c r="G54" s="1"/>
    </row>
    <row r="55" spans="1:7" ht="70">
      <c r="A55" s="78"/>
      <c r="B55" s="78"/>
      <c r="C55" s="79">
        <v>1</v>
      </c>
      <c r="D55" s="78"/>
      <c r="E55" s="78"/>
      <c r="F55" s="80" t="s">
        <v>209</v>
      </c>
      <c r="G55" s="1"/>
    </row>
    <row r="56" spans="1:7" ht="143">
      <c r="A56" s="78"/>
      <c r="B56" s="78"/>
      <c r="C56" s="79">
        <v>1</v>
      </c>
      <c r="D56" s="78"/>
      <c r="E56" s="78"/>
      <c r="F56" s="80" t="s">
        <v>195</v>
      </c>
      <c r="G56" s="1"/>
    </row>
    <row r="57" spans="1:7" ht="112">
      <c r="A57" s="84"/>
      <c r="B57" s="79"/>
      <c r="C57" s="79">
        <v>1</v>
      </c>
      <c r="D57" s="78"/>
      <c r="E57" s="78"/>
      <c r="F57" s="80" t="s">
        <v>196</v>
      </c>
      <c r="G57" s="1"/>
    </row>
    <row r="58" spans="1:7" ht="168">
      <c r="A58" s="78"/>
      <c r="B58" s="78"/>
      <c r="C58" s="79">
        <v>1</v>
      </c>
      <c r="D58" s="78"/>
      <c r="E58" s="78"/>
      <c r="F58" s="80" t="s">
        <v>197</v>
      </c>
      <c r="G58" s="1"/>
    </row>
    <row r="59" spans="1:7" ht="70">
      <c r="A59" s="77">
        <v>1993</v>
      </c>
      <c r="B59" s="78"/>
      <c r="C59" s="79">
        <v>1</v>
      </c>
      <c r="D59" s="78"/>
      <c r="E59" s="78"/>
      <c r="F59" s="80" t="s">
        <v>198</v>
      </c>
      <c r="G59" s="1"/>
    </row>
    <row r="60" spans="1:7" ht="56">
      <c r="A60" s="78"/>
      <c r="B60" s="78"/>
      <c r="C60" s="79">
        <v>1</v>
      </c>
      <c r="D60" s="78"/>
      <c r="E60" s="78"/>
      <c r="F60" s="80" t="s">
        <v>199</v>
      </c>
      <c r="G60" s="1"/>
    </row>
    <row r="61" spans="1:7" ht="42">
      <c r="A61" s="78"/>
      <c r="B61" s="78"/>
      <c r="C61" s="79">
        <v>1</v>
      </c>
      <c r="D61" s="78"/>
      <c r="E61" s="78"/>
      <c r="F61" s="80" t="s">
        <v>200</v>
      </c>
      <c r="G61" s="1"/>
    </row>
    <row r="62" spans="1:7" ht="28">
      <c r="A62" s="77">
        <v>1994</v>
      </c>
      <c r="B62" s="79">
        <v>1</v>
      </c>
      <c r="C62" s="78"/>
      <c r="D62" s="78"/>
      <c r="E62" s="78"/>
      <c r="F62" s="80" t="s">
        <v>201</v>
      </c>
      <c r="G62" s="1"/>
    </row>
    <row r="63" spans="1:7" ht="70">
      <c r="A63" s="78"/>
      <c r="B63" s="78"/>
      <c r="C63" s="79">
        <v>1</v>
      </c>
      <c r="D63" s="78"/>
      <c r="E63" s="78"/>
      <c r="F63" s="80" t="s">
        <v>202</v>
      </c>
      <c r="G63" s="1"/>
    </row>
    <row r="64" spans="1:7" ht="98">
      <c r="A64" s="78"/>
      <c r="B64" s="78"/>
      <c r="C64" s="79">
        <v>1</v>
      </c>
      <c r="D64" s="79"/>
      <c r="E64" s="78"/>
      <c r="F64" s="80" t="s">
        <v>203</v>
      </c>
      <c r="G64" s="1"/>
    </row>
    <row r="65" spans="1:7" ht="168">
      <c r="A65" s="78"/>
      <c r="B65" s="78"/>
      <c r="C65" s="79">
        <v>1</v>
      </c>
      <c r="D65" s="78"/>
      <c r="E65" s="78"/>
      <c r="F65" s="80" t="s">
        <v>184</v>
      </c>
      <c r="G65" s="1"/>
    </row>
    <row r="66" spans="1:7" ht="42">
      <c r="A66" s="82"/>
      <c r="B66" s="78"/>
      <c r="C66" s="79"/>
      <c r="D66" s="78"/>
      <c r="E66" s="79">
        <v>1</v>
      </c>
      <c r="F66" s="80" t="s">
        <v>185</v>
      </c>
      <c r="G66" s="1"/>
    </row>
    <row r="67" spans="1:7" ht="84">
      <c r="A67" s="77">
        <v>1995</v>
      </c>
      <c r="B67" s="78"/>
      <c r="C67" s="78"/>
      <c r="D67" s="79">
        <v>1</v>
      </c>
      <c r="E67" s="78"/>
      <c r="F67" s="80" t="s">
        <v>186</v>
      </c>
      <c r="G67" s="1"/>
    </row>
    <row r="68" spans="1:7" ht="98">
      <c r="A68" s="77">
        <v>1996</v>
      </c>
      <c r="B68" s="85">
        <v>1</v>
      </c>
      <c r="C68" s="85"/>
      <c r="D68" s="85"/>
      <c r="E68" s="78"/>
      <c r="F68" s="80" t="s">
        <v>187</v>
      </c>
      <c r="G68" s="1"/>
    </row>
    <row r="69" spans="1:7" ht="56">
      <c r="A69" s="78"/>
      <c r="B69" s="78"/>
      <c r="C69" s="85"/>
      <c r="D69" s="85">
        <v>1</v>
      </c>
      <c r="E69" s="79"/>
      <c r="F69" s="80" t="s">
        <v>188</v>
      </c>
      <c r="G69" s="1"/>
    </row>
    <row r="70" spans="1:7" ht="42">
      <c r="A70" s="77">
        <v>1997</v>
      </c>
      <c r="B70" s="78"/>
      <c r="C70" s="85">
        <v>1</v>
      </c>
      <c r="D70" s="78"/>
      <c r="E70" s="78"/>
      <c r="F70" s="83" t="s">
        <v>189</v>
      </c>
      <c r="G70" s="1"/>
    </row>
    <row r="71" spans="1:7" ht="42">
      <c r="A71" s="78"/>
      <c r="B71" s="78"/>
      <c r="C71" s="85">
        <v>1</v>
      </c>
      <c r="D71" s="78"/>
      <c r="E71" s="78"/>
      <c r="F71" s="80" t="s">
        <v>190</v>
      </c>
      <c r="G71" s="1"/>
    </row>
    <row r="72" spans="1:7" ht="126">
      <c r="A72" s="78"/>
      <c r="B72" s="78"/>
      <c r="C72" s="85">
        <v>1</v>
      </c>
      <c r="D72" s="85"/>
      <c r="E72" s="78"/>
      <c r="F72" s="80" t="s">
        <v>191</v>
      </c>
      <c r="G72" s="1"/>
    </row>
    <row r="73" spans="1:7" ht="28">
      <c r="A73" s="77">
        <v>1998</v>
      </c>
      <c r="B73" s="78"/>
      <c r="C73" s="79">
        <v>1</v>
      </c>
      <c r="D73" s="78"/>
      <c r="E73" s="78"/>
      <c r="F73" s="80" t="s">
        <v>192</v>
      </c>
      <c r="G73" s="1"/>
    </row>
    <row r="74" spans="1:7" ht="42">
      <c r="A74" s="77">
        <v>1999</v>
      </c>
      <c r="B74" s="79">
        <v>1</v>
      </c>
      <c r="C74" s="78"/>
      <c r="D74" s="78"/>
      <c r="E74" s="78"/>
      <c r="F74" s="80" t="s">
        <v>193</v>
      </c>
      <c r="G74" s="1"/>
    </row>
    <row r="75" spans="1:7" ht="84">
      <c r="A75" s="77">
        <v>2000</v>
      </c>
      <c r="B75" s="78"/>
      <c r="C75" s="79">
        <v>1</v>
      </c>
      <c r="D75" s="79"/>
      <c r="E75" s="78"/>
      <c r="F75" s="80" t="s">
        <v>194</v>
      </c>
      <c r="G75" s="1"/>
    </row>
    <row r="76" spans="1:7" ht="112">
      <c r="A76" s="78"/>
      <c r="B76" s="78"/>
      <c r="C76" s="79">
        <v>1</v>
      </c>
      <c r="D76" s="78"/>
      <c r="E76" s="78"/>
      <c r="F76" s="80" t="s">
        <v>173</v>
      </c>
      <c r="G76" s="1"/>
    </row>
    <row r="77" spans="1:7" ht="42">
      <c r="A77" s="78"/>
      <c r="B77" s="78"/>
      <c r="C77" s="78"/>
      <c r="D77" s="79">
        <v>1</v>
      </c>
      <c r="E77" s="78"/>
      <c r="F77" s="80" t="s">
        <v>174</v>
      </c>
      <c r="G77" s="1"/>
    </row>
    <row r="78" spans="1:7" ht="70">
      <c r="A78" s="77">
        <v>2001</v>
      </c>
      <c r="B78" s="78"/>
      <c r="C78" s="78"/>
      <c r="D78" s="79">
        <v>1</v>
      </c>
      <c r="E78" s="78"/>
      <c r="F78" s="80" t="s">
        <v>175</v>
      </c>
      <c r="G78" s="1"/>
    </row>
    <row r="79" spans="1:7" ht="56">
      <c r="A79" s="78"/>
      <c r="B79" s="78"/>
      <c r="C79" s="79">
        <v>1</v>
      </c>
      <c r="D79" s="78"/>
      <c r="E79" s="78"/>
      <c r="F79" s="80" t="s">
        <v>176</v>
      </c>
      <c r="G79" s="1"/>
    </row>
    <row r="80" spans="1:7" ht="56">
      <c r="A80" s="77">
        <v>2002</v>
      </c>
      <c r="B80" s="78"/>
      <c r="C80" s="79">
        <v>1</v>
      </c>
      <c r="D80" s="78"/>
      <c r="E80" s="78"/>
      <c r="F80" s="80" t="s">
        <v>177</v>
      </c>
      <c r="G80" s="1"/>
    </row>
    <row r="81" spans="1:7" ht="56">
      <c r="A81" s="78"/>
      <c r="B81" s="78"/>
      <c r="C81" s="78"/>
      <c r="D81" s="79">
        <v>1</v>
      </c>
      <c r="E81" s="78"/>
      <c r="F81" s="80" t="s">
        <v>178</v>
      </c>
      <c r="G81" s="1"/>
    </row>
    <row r="82" spans="1:7" ht="56">
      <c r="A82" s="82"/>
      <c r="B82" s="78"/>
      <c r="C82" s="78"/>
      <c r="D82" s="79">
        <v>1</v>
      </c>
      <c r="E82" s="78"/>
      <c r="F82" s="80" t="s">
        <v>179</v>
      </c>
      <c r="G82" s="1"/>
    </row>
    <row r="83" spans="1:7" ht="126">
      <c r="A83" s="81">
        <v>2003</v>
      </c>
      <c r="B83" s="78"/>
      <c r="C83" s="79">
        <v>1</v>
      </c>
      <c r="D83" s="79"/>
      <c r="E83" s="78"/>
      <c r="F83" s="80" t="s">
        <v>180</v>
      </c>
      <c r="G83" s="1"/>
    </row>
    <row r="84" spans="1:7" ht="28">
      <c r="A84" s="77">
        <v>2004</v>
      </c>
      <c r="B84" s="79">
        <v>1</v>
      </c>
      <c r="C84" s="78"/>
      <c r="D84" s="78"/>
      <c r="E84" s="78"/>
      <c r="F84" s="80" t="s">
        <v>181</v>
      </c>
      <c r="G84" s="1"/>
    </row>
    <row r="85" spans="1:7" ht="112">
      <c r="A85" s="82"/>
      <c r="B85" s="78"/>
      <c r="C85" s="78"/>
      <c r="D85" s="79">
        <v>1</v>
      </c>
      <c r="E85" s="78"/>
      <c r="F85" s="80" t="s">
        <v>182</v>
      </c>
      <c r="G85" s="1"/>
    </row>
    <row r="86" spans="1:7" ht="84">
      <c r="A86" s="78"/>
      <c r="B86" s="79">
        <v>1</v>
      </c>
      <c r="C86" s="79"/>
      <c r="D86" s="78"/>
      <c r="E86" s="78"/>
      <c r="F86" s="80" t="s">
        <v>183</v>
      </c>
      <c r="G86" s="1"/>
    </row>
    <row r="87" spans="1:7" ht="56">
      <c r="A87" s="78"/>
      <c r="B87" s="78"/>
      <c r="C87" s="79">
        <v>1</v>
      </c>
      <c r="D87" s="78"/>
      <c r="E87" s="78"/>
      <c r="F87" s="80" t="s">
        <v>164</v>
      </c>
      <c r="G87" s="1"/>
    </row>
    <row r="88" spans="1:7" ht="56">
      <c r="A88" s="81">
        <v>2005</v>
      </c>
      <c r="B88" s="78"/>
      <c r="C88" s="79">
        <v>1</v>
      </c>
      <c r="D88" s="79"/>
      <c r="E88" s="78"/>
      <c r="F88" s="80" t="s">
        <v>165</v>
      </c>
      <c r="G88" s="1"/>
    </row>
    <row r="89" spans="1:7" ht="56">
      <c r="A89" s="78"/>
      <c r="B89" s="78"/>
      <c r="C89" s="78"/>
      <c r="D89" s="79"/>
      <c r="E89" s="79">
        <v>1</v>
      </c>
      <c r="F89" s="80" t="s">
        <v>166</v>
      </c>
      <c r="G89" s="1"/>
    </row>
    <row r="90" spans="1:7" ht="56">
      <c r="A90" s="78"/>
      <c r="B90" s="79"/>
      <c r="C90" s="79">
        <v>1</v>
      </c>
      <c r="D90" s="78"/>
      <c r="E90" s="78"/>
      <c r="F90" s="80" t="s">
        <v>167</v>
      </c>
      <c r="G90" s="1"/>
    </row>
    <row r="91" spans="1:7" ht="42">
      <c r="A91" s="77">
        <v>2006</v>
      </c>
      <c r="B91" s="79"/>
      <c r="C91" s="79">
        <v>1</v>
      </c>
      <c r="D91" s="78"/>
      <c r="E91" s="78"/>
      <c r="F91" s="80" t="s">
        <v>168</v>
      </c>
      <c r="G91" s="1"/>
    </row>
    <row r="92" spans="1:7" ht="70">
      <c r="A92" s="82"/>
      <c r="B92" s="78"/>
      <c r="C92" s="79"/>
      <c r="D92" s="79">
        <v>1</v>
      </c>
      <c r="E92" s="78"/>
      <c r="F92" s="19" t="s">
        <v>169</v>
      </c>
      <c r="G92" s="1"/>
    </row>
    <row r="93" spans="1:7" ht="42">
      <c r="A93" s="81">
        <v>2007</v>
      </c>
      <c r="B93" s="78"/>
      <c r="C93" s="79">
        <v>1</v>
      </c>
      <c r="D93" s="79"/>
      <c r="E93" s="78"/>
      <c r="F93" s="80" t="s">
        <v>170</v>
      </c>
      <c r="G93" s="1"/>
    </row>
    <row r="94" spans="1:7" ht="140">
      <c r="A94" s="78"/>
      <c r="B94" s="78"/>
      <c r="C94" s="78"/>
      <c r="D94" s="79">
        <v>1</v>
      </c>
      <c r="E94" s="78"/>
      <c r="F94" s="80" t="s">
        <v>171</v>
      </c>
      <c r="G94" s="1"/>
    </row>
    <row r="95" spans="1:7" ht="154">
      <c r="A95" s="78"/>
      <c r="B95" s="78"/>
      <c r="C95" s="78"/>
      <c r="D95" s="79">
        <v>1</v>
      </c>
      <c r="E95" s="79"/>
      <c r="F95" s="80" t="s">
        <v>172</v>
      </c>
      <c r="G95" s="1"/>
    </row>
    <row r="96" spans="1:7" ht="168">
      <c r="A96" s="78"/>
      <c r="B96" s="78"/>
      <c r="C96" s="78"/>
      <c r="D96" s="79">
        <v>1</v>
      </c>
      <c r="E96" s="78"/>
      <c r="F96" s="80" t="s">
        <v>154</v>
      </c>
      <c r="G96" s="1"/>
    </row>
    <row r="97" spans="1:7" ht="28">
      <c r="A97" s="81">
        <v>2008</v>
      </c>
      <c r="B97" s="78"/>
      <c r="C97" s="79">
        <v>1</v>
      </c>
      <c r="D97" s="79"/>
      <c r="E97" s="78"/>
      <c r="F97" s="80" t="s">
        <v>155</v>
      </c>
      <c r="G97" s="1"/>
    </row>
    <row r="98" spans="1:7" ht="154">
      <c r="A98" s="78"/>
      <c r="B98" s="78"/>
      <c r="C98" s="78"/>
      <c r="D98" s="79">
        <v>1</v>
      </c>
      <c r="E98" s="78"/>
      <c r="F98" s="80" t="s">
        <v>156</v>
      </c>
      <c r="G98" s="1"/>
    </row>
    <row r="99" spans="1:7" ht="70">
      <c r="A99" s="78"/>
      <c r="B99" s="78"/>
      <c r="C99" s="78"/>
      <c r="D99" s="79">
        <v>1</v>
      </c>
      <c r="E99" s="78"/>
      <c r="F99" s="80" t="s">
        <v>157</v>
      </c>
      <c r="G99" s="1"/>
    </row>
    <row r="100" spans="1:7" ht="28">
      <c r="A100" s="77">
        <v>2009</v>
      </c>
      <c r="B100" s="79">
        <v>1</v>
      </c>
      <c r="C100" s="78"/>
      <c r="D100" s="78"/>
      <c r="E100" s="78"/>
      <c r="F100" s="80" t="s">
        <v>158</v>
      </c>
      <c r="G100" s="1"/>
    </row>
    <row r="101" spans="1:7" ht="42">
      <c r="A101" s="82"/>
      <c r="B101" s="78"/>
      <c r="C101" s="79">
        <v>1</v>
      </c>
      <c r="D101" s="79"/>
      <c r="E101" s="78"/>
      <c r="F101" s="80" t="s">
        <v>159</v>
      </c>
      <c r="G101" s="1"/>
    </row>
    <row r="102" spans="1:7" ht="84">
      <c r="A102" s="78"/>
      <c r="B102" s="78"/>
      <c r="C102" s="78"/>
      <c r="D102" s="79">
        <v>1</v>
      </c>
      <c r="E102" s="78"/>
      <c r="F102" s="80" t="s">
        <v>160</v>
      </c>
      <c r="G102" s="1"/>
    </row>
    <row r="103" spans="1:7" ht="42">
      <c r="A103" s="78"/>
      <c r="B103" s="79">
        <v>1</v>
      </c>
      <c r="C103" s="78"/>
      <c r="D103" s="78"/>
      <c r="E103" s="78"/>
      <c r="F103" s="80" t="s">
        <v>161</v>
      </c>
      <c r="G103" s="1"/>
    </row>
    <row r="104" spans="1:7" ht="42">
      <c r="A104" s="78"/>
      <c r="B104" s="78"/>
      <c r="C104" s="78"/>
      <c r="D104" s="79">
        <v>1</v>
      </c>
      <c r="E104" s="79"/>
      <c r="F104" s="80" t="s">
        <v>162</v>
      </c>
      <c r="G104" s="1"/>
    </row>
    <row r="105" spans="1:7" ht="84">
      <c r="A105" s="77">
        <v>2010</v>
      </c>
      <c r="B105" s="78"/>
      <c r="C105" s="79"/>
      <c r="D105" s="79">
        <v>1</v>
      </c>
      <c r="E105" s="78"/>
      <c r="F105" s="80" t="s">
        <v>163</v>
      </c>
      <c r="G105" s="1"/>
    </row>
    <row r="106" spans="1:7" ht="84">
      <c r="A106" s="82"/>
      <c r="B106" s="78"/>
      <c r="C106" s="79">
        <v>1</v>
      </c>
      <c r="D106" s="79"/>
      <c r="E106" s="78"/>
      <c r="F106" s="80" t="s">
        <v>139</v>
      </c>
      <c r="G106" s="1"/>
    </row>
    <row r="107" spans="1:7" ht="28">
      <c r="A107" s="78"/>
      <c r="B107" s="79">
        <v>1</v>
      </c>
      <c r="C107" s="78"/>
      <c r="D107" s="78"/>
      <c r="E107" s="78"/>
      <c r="F107" s="80" t="s">
        <v>140</v>
      </c>
      <c r="G107" s="1"/>
    </row>
    <row r="108" spans="1:7" ht="56">
      <c r="A108" s="78"/>
      <c r="B108" s="78"/>
      <c r="C108" s="78"/>
      <c r="D108" s="79">
        <v>1</v>
      </c>
      <c r="E108" s="78"/>
      <c r="F108" s="80" t="s">
        <v>141</v>
      </c>
      <c r="G108" s="1"/>
    </row>
    <row r="109" spans="1:7" ht="84">
      <c r="A109" s="82"/>
      <c r="B109" s="78"/>
      <c r="C109" s="79">
        <v>1</v>
      </c>
      <c r="D109" s="79"/>
      <c r="E109" s="78"/>
      <c r="F109" s="80" t="s">
        <v>142</v>
      </c>
      <c r="G109" s="1"/>
    </row>
    <row r="110" spans="1:7" ht="28">
      <c r="A110" s="77">
        <v>2011</v>
      </c>
      <c r="B110" s="79">
        <v>1</v>
      </c>
      <c r="C110" s="78"/>
      <c r="D110" s="78"/>
      <c r="E110" s="78"/>
      <c r="F110" s="80" t="s">
        <v>143</v>
      </c>
      <c r="G110" s="1"/>
    </row>
    <row r="111" spans="1:7" ht="28">
      <c r="A111" s="82"/>
      <c r="B111" s="78"/>
      <c r="C111" s="79">
        <v>1</v>
      </c>
      <c r="D111" s="79"/>
      <c r="E111" s="78"/>
      <c r="F111" s="80" t="s">
        <v>144</v>
      </c>
      <c r="G111" s="1"/>
    </row>
    <row r="112" spans="1:7" ht="42">
      <c r="A112" s="78"/>
      <c r="B112" s="78"/>
      <c r="C112" s="78"/>
      <c r="D112" s="79">
        <v>1</v>
      </c>
      <c r="E112" s="78"/>
      <c r="F112" s="80" t="s">
        <v>145</v>
      </c>
      <c r="G112" s="1"/>
    </row>
    <row r="113" spans="1:7" ht="28">
      <c r="A113" s="78"/>
      <c r="B113" s="78"/>
      <c r="C113" s="78"/>
      <c r="D113" s="79">
        <v>1</v>
      </c>
      <c r="E113" s="78"/>
      <c r="F113" s="80" t="s">
        <v>146</v>
      </c>
      <c r="G113" s="1"/>
    </row>
    <row r="114" spans="1:7" ht="28">
      <c r="A114" s="77">
        <v>2012</v>
      </c>
      <c r="B114" s="79">
        <v>1</v>
      </c>
      <c r="C114" s="78"/>
      <c r="D114" s="78"/>
      <c r="E114" s="78"/>
      <c r="F114" s="80" t="s">
        <v>147</v>
      </c>
      <c r="G114" s="1"/>
    </row>
    <row r="115" spans="1:7" ht="28">
      <c r="A115" s="82"/>
      <c r="B115" s="78"/>
      <c r="C115" s="79">
        <v>1</v>
      </c>
      <c r="D115" s="79"/>
      <c r="E115" s="78"/>
      <c r="F115" s="80" t="s">
        <v>148</v>
      </c>
      <c r="G115" s="1"/>
    </row>
    <row r="116" spans="1:7" ht="112">
      <c r="A116" s="78"/>
      <c r="B116" s="78"/>
      <c r="C116" s="78"/>
      <c r="D116" s="76"/>
      <c r="E116" s="79">
        <v>1</v>
      </c>
      <c r="F116" s="80" t="s">
        <v>149</v>
      </c>
      <c r="G116" s="1"/>
    </row>
    <row r="117" spans="1:7" ht="42">
      <c r="A117" s="78"/>
      <c r="B117" s="78"/>
      <c r="C117" s="78"/>
      <c r="D117" s="79">
        <v>1</v>
      </c>
      <c r="E117" s="78"/>
      <c r="F117" s="80" t="s">
        <v>150</v>
      </c>
      <c r="G117" s="1"/>
    </row>
    <row r="118" spans="1:7" ht="42">
      <c r="A118" s="78"/>
      <c r="B118" s="78"/>
      <c r="C118" s="78"/>
      <c r="D118" s="79">
        <v>1</v>
      </c>
      <c r="E118" s="78"/>
      <c r="F118" s="80" t="s">
        <v>151</v>
      </c>
      <c r="G118" s="1"/>
    </row>
    <row r="119" spans="1:7" ht="70">
      <c r="A119" s="78"/>
      <c r="B119" s="79"/>
      <c r="C119" s="79">
        <v>1</v>
      </c>
      <c r="D119" s="78"/>
      <c r="E119" s="78"/>
      <c r="F119" s="80" t="s">
        <v>152</v>
      </c>
      <c r="G119" s="1"/>
    </row>
    <row r="120" spans="1:7" ht="112">
      <c r="A120" s="78"/>
      <c r="B120" s="78"/>
      <c r="C120" s="79">
        <v>1</v>
      </c>
      <c r="D120" s="79"/>
      <c r="E120" s="78"/>
      <c r="F120" s="80" t="s">
        <v>153</v>
      </c>
      <c r="G120" s="1"/>
    </row>
    <row r="121" spans="1:7" ht="140">
      <c r="A121" s="78"/>
      <c r="B121" s="78"/>
      <c r="C121" s="79"/>
      <c r="D121" s="79">
        <v>1</v>
      </c>
      <c r="E121" s="78"/>
      <c r="F121" s="80" t="s">
        <v>127</v>
      </c>
      <c r="G121" s="1"/>
    </row>
    <row r="122" spans="1:7" ht="42">
      <c r="A122" s="78"/>
      <c r="B122" s="79"/>
      <c r="C122" s="79">
        <v>1</v>
      </c>
      <c r="D122" s="78"/>
      <c r="E122" s="78"/>
      <c r="F122" s="83" t="s">
        <v>128</v>
      </c>
      <c r="G122" s="1"/>
    </row>
    <row r="123" spans="1:7" ht="112">
      <c r="A123" s="81">
        <v>2013</v>
      </c>
      <c r="B123" s="78"/>
      <c r="C123" s="79">
        <v>1</v>
      </c>
      <c r="D123" s="79"/>
      <c r="E123" s="78"/>
      <c r="F123" s="80" t="s">
        <v>129</v>
      </c>
      <c r="G123" s="1"/>
    </row>
    <row r="124" spans="1:7" ht="70">
      <c r="A124" s="82"/>
      <c r="B124" s="78"/>
      <c r="C124" s="79">
        <v>1</v>
      </c>
      <c r="D124" s="79"/>
      <c r="E124" s="78"/>
      <c r="F124" s="80" t="s">
        <v>130</v>
      </c>
      <c r="G124" s="1"/>
    </row>
    <row r="125" spans="1:7" ht="56">
      <c r="A125" s="82"/>
      <c r="B125" s="78"/>
      <c r="C125" s="79">
        <v>1</v>
      </c>
      <c r="D125" s="79"/>
      <c r="E125" s="78"/>
      <c r="F125" s="80" t="s">
        <v>131</v>
      </c>
      <c r="G125" s="1"/>
    </row>
    <row r="126" spans="1:7" ht="56">
      <c r="A126" s="78"/>
      <c r="B126" s="78"/>
      <c r="C126" s="78"/>
      <c r="D126" s="79">
        <v>1</v>
      </c>
      <c r="E126" s="78"/>
      <c r="F126" s="80" t="s">
        <v>132</v>
      </c>
      <c r="G126" s="1"/>
    </row>
    <row r="127" spans="1:7" ht="98">
      <c r="A127" s="78"/>
      <c r="B127" s="78"/>
      <c r="C127" s="78"/>
      <c r="D127" s="79">
        <v>1</v>
      </c>
      <c r="E127" s="78"/>
      <c r="F127" s="80" t="s">
        <v>133</v>
      </c>
      <c r="G127" s="1"/>
    </row>
    <row r="128" spans="1:7" ht="28">
      <c r="A128" s="77">
        <v>2014</v>
      </c>
      <c r="B128" s="79">
        <v>1</v>
      </c>
      <c r="C128" s="78"/>
      <c r="D128" s="78"/>
      <c r="E128" s="78"/>
      <c r="F128" s="80" t="s">
        <v>134</v>
      </c>
      <c r="G128" s="1"/>
    </row>
    <row r="129" spans="1:7" ht="84">
      <c r="A129" s="78"/>
      <c r="B129" s="78"/>
      <c r="C129" s="78"/>
      <c r="D129" s="79">
        <v>1</v>
      </c>
      <c r="E129" s="78"/>
      <c r="F129" s="80" t="s">
        <v>135</v>
      </c>
      <c r="G129" s="1"/>
    </row>
    <row r="130" spans="1:7" ht="42">
      <c r="A130" s="78"/>
      <c r="B130" s="78"/>
      <c r="C130" s="79">
        <v>1</v>
      </c>
      <c r="D130" s="78"/>
      <c r="E130" s="78"/>
      <c r="F130" s="80" t="s">
        <v>136</v>
      </c>
      <c r="G130" s="1"/>
    </row>
    <row r="131" spans="1:7" ht="42">
      <c r="A131" s="78"/>
      <c r="B131" s="78"/>
      <c r="C131" s="78"/>
      <c r="D131" s="79">
        <v>1</v>
      </c>
      <c r="E131" s="78"/>
      <c r="F131" s="80" t="s">
        <v>137</v>
      </c>
      <c r="G131" s="1"/>
    </row>
    <row r="132" spans="1:7" ht="28">
      <c r="A132" s="82"/>
      <c r="B132" s="78"/>
      <c r="C132" s="78"/>
      <c r="D132" s="79">
        <v>1</v>
      </c>
      <c r="E132" s="78"/>
      <c r="F132" s="80" t="s">
        <v>138</v>
      </c>
      <c r="G132" s="1"/>
    </row>
    <row r="133" spans="1:7" ht="56">
      <c r="A133" s="78"/>
      <c r="B133" s="78"/>
      <c r="C133" s="79">
        <v>1</v>
      </c>
      <c r="D133" s="78"/>
      <c r="E133" s="78"/>
      <c r="F133" s="83" t="s">
        <v>110</v>
      </c>
      <c r="G133" s="1"/>
    </row>
    <row r="134" spans="1:7" ht="56">
      <c r="A134" s="82"/>
      <c r="B134" s="78"/>
      <c r="C134" s="79">
        <v>1</v>
      </c>
      <c r="D134" s="79"/>
      <c r="E134" s="78"/>
      <c r="F134" s="80" t="s">
        <v>111</v>
      </c>
      <c r="G134" s="1"/>
    </row>
    <row r="135" spans="1:7" ht="98">
      <c r="A135" s="81">
        <v>2015</v>
      </c>
      <c r="B135" s="79">
        <v>1</v>
      </c>
      <c r="C135" s="78"/>
      <c r="D135" s="79"/>
      <c r="E135" s="78"/>
      <c r="F135" s="80" t="s">
        <v>112</v>
      </c>
      <c r="G135" s="1"/>
    </row>
    <row r="136" spans="1:7" ht="56">
      <c r="A136" s="78"/>
      <c r="B136" s="78"/>
      <c r="C136" s="78"/>
      <c r="D136" s="79">
        <v>1</v>
      </c>
      <c r="E136" s="78"/>
      <c r="F136" s="80" t="s">
        <v>113</v>
      </c>
      <c r="G136" s="1"/>
    </row>
    <row r="137" spans="1:7" ht="56">
      <c r="A137" s="78"/>
      <c r="B137" s="78"/>
      <c r="C137" s="78"/>
      <c r="D137" s="79">
        <v>1</v>
      </c>
      <c r="E137" s="78"/>
      <c r="F137" s="80" t="s">
        <v>114</v>
      </c>
      <c r="G137" s="1"/>
    </row>
    <row r="138" spans="1:7" ht="28">
      <c r="A138" s="78"/>
      <c r="B138" s="78"/>
      <c r="C138" s="79">
        <v>1</v>
      </c>
      <c r="D138" s="78"/>
      <c r="E138" s="78"/>
      <c r="F138" s="19" t="s">
        <v>115</v>
      </c>
      <c r="G138" s="1"/>
    </row>
    <row r="139" spans="1:7" s="3" customFormat="1">
      <c r="A139" s="76"/>
      <c r="B139" s="76"/>
      <c r="C139" s="76"/>
      <c r="D139" s="76"/>
      <c r="E139" s="76"/>
      <c r="F139" s="89"/>
    </row>
    <row r="140" spans="1:7">
      <c r="A140" s="76"/>
      <c r="B140" s="76"/>
      <c r="C140" s="76"/>
      <c r="D140" s="76"/>
      <c r="E140" s="76"/>
      <c r="F140" s="76"/>
      <c r="G140" s="1"/>
    </row>
    <row r="141" spans="1:7" ht="14">
      <c r="A141" s="83"/>
      <c r="B141" s="83" t="s">
        <v>116</v>
      </c>
      <c r="C141" s="83" t="s">
        <v>117</v>
      </c>
      <c r="D141" s="83" t="s">
        <v>118</v>
      </c>
      <c r="E141" s="83" t="s">
        <v>246</v>
      </c>
      <c r="F141" s="83" t="s">
        <v>11</v>
      </c>
      <c r="G141" s="69" t="s">
        <v>247</v>
      </c>
    </row>
    <row r="142" spans="1:7" ht="14">
      <c r="A142" s="83" t="s">
        <v>119</v>
      </c>
      <c r="B142" s="83">
        <f>SUM(B3:B92)</f>
        <v>16</v>
      </c>
      <c r="C142" s="83">
        <f>SUM(C3:C92)</f>
        <v>51</v>
      </c>
      <c r="D142" s="83">
        <f>SUM(D3:D92)</f>
        <v>12</v>
      </c>
      <c r="E142" s="83">
        <f>SUM(E3:E92)</f>
        <v>7</v>
      </c>
      <c r="F142" s="83">
        <f>SUM(B142:E142)</f>
        <v>86</v>
      </c>
      <c r="G142" s="69">
        <v>37</v>
      </c>
    </row>
    <row r="143" spans="1:7">
      <c r="A143" s="83"/>
      <c r="B143" s="94">
        <f>B142/G142</f>
        <v>0.43243243243243246</v>
      </c>
      <c r="C143" s="94">
        <f>C142/G142</f>
        <v>1.3783783783783783</v>
      </c>
      <c r="D143" s="94">
        <f>D142/G142</f>
        <v>0.32432432432432434</v>
      </c>
      <c r="E143" s="94">
        <f>E142/G142</f>
        <v>0.1891891891891892</v>
      </c>
      <c r="F143" s="94">
        <f>F142/G142</f>
        <v>2.3243243243243241</v>
      </c>
      <c r="G143" s="69"/>
    </row>
    <row r="144" spans="1:7" ht="14">
      <c r="A144" s="83" t="s">
        <v>120</v>
      </c>
      <c r="B144" s="83">
        <f>SUM(B93:B138)</f>
        <v>7</v>
      </c>
      <c r="C144" s="83">
        <f t="shared" ref="C144:E144" si="0">SUM(C93:C138)</f>
        <v>17</v>
      </c>
      <c r="D144" s="83">
        <f t="shared" si="0"/>
        <v>21</v>
      </c>
      <c r="E144" s="83">
        <f t="shared" si="0"/>
        <v>1</v>
      </c>
      <c r="F144" s="83">
        <f>SUM(B144:E144)</f>
        <v>46</v>
      </c>
      <c r="G144" s="69">
        <v>9</v>
      </c>
    </row>
    <row r="145" spans="1:7">
      <c r="A145" s="83"/>
      <c r="B145" s="94">
        <f>B144/G144</f>
        <v>0.77777777777777779</v>
      </c>
      <c r="C145" s="94">
        <f>C144/G144</f>
        <v>1.8888888888888888</v>
      </c>
      <c r="D145" s="94">
        <f>D144/G144</f>
        <v>2.3333333333333335</v>
      </c>
      <c r="E145" s="94">
        <f>E144/G144</f>
        <v>0.1111111111111111</v>
      </c>
      <c r="F145" s="94">
        <f>F144/G144</f>
        <v>5.1111111111111107</v>
      </c>
      <c r="G145" s="1"/>
    </row>
    <row r="146" spans="1:7">
      <c r="A146" s="83"/>
      <c r="B146" s="83">
        <f>SUM(B142+B144)</f>
        <v>23</v>
      </c>
      <c r="C146" s="83">
        <f t="shared" ref="C146:E146" si="1">SUM(C142+C144)</f>
        <v>68</v>
      </c>
      <c r="D146" s="83">
        <f t="shared" si="1"/>
        <v>33</v>
      </c>
      <c r="E146" s="83">
        <f t="shared" si="1"/>
        <v>8</v>
      </c>
      <c r="F146" s="83"/>
      <c r="G146" s="1"/>
    </row>
    <row r="147" spans="1:7">
      <c r="A147" s="76"/>
      <c r="B147" s="76"/>
      <c r="C147" s="76"/>
      <c r="D147" s="76"/>
      <c r="E147" s="76">
        <f>SUM(B146:E146)</f>
        <v>132</v>
      </c>
      <c r="F147" s="76"/>
      <c r="G147" s="1"/>
    </row>
    <row r="148" spans="1:7">
      <c r="A148" s="76"/>
      <c r="B148" s="76"/>
      <c r="C148" s="76"/>
      <c r="D148" s="76"/>
      <c r="E148" s="76"/>
      <c r="F148" s="76"/>
      <c r="G148" s="1"/>
    </row>
    <row r="149" spans="1:7">
      <c r="A149" s="1" t="s">
        <v>81</v>
      </c>
      <c r="B149" s="1"/>
      <c r="C149" s="1"/>
      <c r="D149" s="1"/>
      <c r="E149" s="1"/>
      <c r="F149" s="1" t="s">
        <v>539</v>
      </c>
      <c r="G149" s="1"/>
    </row>
    <row r="150" spans="1:7">
      <c r="A150" t="s">
        <v>83</v>
      </c>
    </row>
  </sheetData>
  <phoneticPr fontId="6" type="noConversion"/>
  <pageMargins left="0.75" right="0.75" top="1" bottom="1" header="0.5" footer="0.5"/>
  <pageSetup paperSize="0" orientation="portrait" horizontalDpi="4294967292" verticalDpi="4294967292"/>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1970-2015</vt:lpstr>
      <vt:lpstr>SOURCES</vt:lpstr>
      <vt:lpstr>C1 coding</vt:lpstr>
      <vt:lpstr>C2 coding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b</dc:creator>
  <cp:lastModifiedBy>Microsoft Office User</cp:lastModifiedBy>
  <dcterms:created xsi:type="dcterms:W3CDTF">2016-01-22T07:01:39Z</dcterms:created>
  <dcterms:modified xsi:type="dcterms:W3CDTF">2020-06-13T22:39:39Z</dcterms:modified>
</cp:coreProperties>
</file>